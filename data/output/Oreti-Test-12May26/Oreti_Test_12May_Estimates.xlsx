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.daigneault\Documents\GitHub\moving-the-middle-abm\data\output\Oreti-Test-12May26\"/>
    </mc:Choice>
  </mc:AlternateContent>
  <xr:revisionPtr revIDLastSave="0" documentId="13_ncr:1_{7BFA7B48-1188-4154-883C-8632D4090577}" xr6:coauthVersionLast="47" xr6:coauthVersionMax="47" xr10:uidLastSave="{00000000-0000-0000-0000-000000000000}"/>
  <bookViews>
    <workbookView xWindow="28680" yWindow="-120" windowWidth="29040" windowHeight="15720" activeTab="2" xr2:uid="{46450E02-8B96-4FA9-A0F5-639D8698507A}"/>
  </bookViews>
  <sheets>
    <sheet name="Scenario" sheetId="1" r:id="rId1"/>
    <sheet name="Estimates" sheetId="2" r:id="rId2"/>
    <sheet name="Pivot" sheetId="3" r:id="rId3"/>
  </sheets>
  <externalReferences>
    <externalReference r:id="rId4"/>
  </externalReferences>
  <calcPr calcId="191029"/>
  <pivotCaches>
    <pivotCache cacheId="2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5" i="2" l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34" i="2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23" i="2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12" i="2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02" i="2"/>
  <c r="B103" i="2" s="1"/>
  <c r="B104" i="2" s="1"/>
  <c r="B105" i="2" s="1"/>
  <c r="B106" i="2" s="1"/>
  <c r="B107" i="2" s="1"/>
  <c r="B108" i="2" s="1"/>
  <c r="B109" i="2" s="1"/>
  <c r="B110" i="2" s="1"/>
  <c r="B111" i="2" s="1"/>
  <c r="B101" i="2"/>
  <c r="B90" i="2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79" i="2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68" i="2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57" i="2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46" i="2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36" i="2"/>
  <c r="B37" i="2" s="1"/>
  <c r="B38" i="2" s="1"/>
  <c r="B39" i="2" s="1"/>
  <c r="B40" i="2" s="1"/>
  <c r="B41" i="2" s="1"/>
  <c r="B42" i="2" s="1"/>
  <c r="B43" i="2" s="1"/>
  <c r="B44" i="2" s="1"/>
  <c r="B45" i="2" s="1"/>
  <c r="B35" i="2"/>
  <c r="B24" i="2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K2" i="1"/>
  <c r="J2" i="1"/>
  <c r="I2" i="1"/>
  <c r="H2" i="1"/>
  <c r="G2" i="1"/>
  <c r="F2" i="1"/>
  <c r="E2" i="1"/>
  <c r="D2" i="1"/>
  <c r="C2" i="1"/>
  <c r="B2" i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2" i="2"/>
</calcChain>
</file>

<file path=xl/sharedStrings.xml><?xml version="1.0" encoding="utf-8"?>
<sst xmlns="http://schemas.openxmlformats.org/spreadsheetml/2006/main" count="132" uniqueCount="82">
  <si>
    <t>run-seed</t>
  </si>
  <si>
    <t>geography-seed</t>
  </si>
  <si>
    <t>output_data_folder</t>
  </si>
  <si>
    <t>market_data_folder</t>
  </si>
  <si>
    <t>spatial_data_folder</t>
  </si>
  <si>
    <t>geography_from_files</t>
  </si>
  <si>
    <t>scenario</t>
  </si>
  <si>
    <t>default</t>
  </si>
  <si>
    <t>region</t>
  </si>
  <si>
    <t>Oreti</t>
  </si>
  <si>
    <t>LUC_aggregation_steps</t>
  </si>
  <si>
    <t>number_of_farms</t>
  </si>
  <si>
    <t>correlated_landuse</t>
  </si>
  <si>
    <t>landuse_aggregation_steps</t>
  </si>
  <si>
    <t>include_networks</t>
  </si>
  <si>
    <t>n_local_links</t>
  </si>
  <si>
    <t>n_catchment_links</t>
  </si>
  <si>
    <t>interest_rate</t>
  </si>
  <si>
    <t>mortgate_term</t>
  </si>
  <si>
    <t>landuse_change_on_succession</t>
  </si>
  <si>
    <t>apply_suitability</t>
  </si>
  <si>
    <t>Scenario 1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</si>
  <si>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</si>
  <si>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</si>
  <si>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</si>
  <si>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</si>
  <si>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</si>
  <si>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</si>
  <si>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</si>
  <si>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</si>
  <si>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</si>
  <si>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</si>
  <si>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</si>
  <si>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</si>
  <si>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</si>
  <si>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tick</t>
  </si>
  <si>
    <t>income_costs_income</t>
  </si>
  <si>
    <t>income_costs_costs</t>
  </si>
  <si>
    <t>income_costs_debt</t>
  </si>
  <si>
    <t>interventions_Build_Wetland</t>
  </si>
  <si>
    <t>interventions_Clean_Races</t>
  </si>
  <si>
    <t>interventions_Farm_Plan</t>
  </si>
  <si>
    <t>interventions_Riparian_Planting</t>
  </si>
  <si>
    <t>landuse_Crop</t>
  </si>
  <si>
    <t>landuse_Dairy</t>
  </si>
  <si>
    <t>landuse_Forest</t>
  </si>
  <si>
    <t>landuse_SNB</t>
  </si>
  <si>
    <t>env_metrics_ghg_emissions</t>
  </si>
  <si>
    <t>env_metrics_nitrates</t>
  </si>
  <si>
    <t>env_metrics_sediment</t>
  </si>
  <si>
    <t>env_metrics_phosphates</t>
  </si>
  <si>
    <t>env_metrics_e_coli</t>
  </si>
  <si>
    <t>Scenario</t>
  </si>
  <si>
    <t>Row Labels</t>
  </si>
  <si>
    <t>Grand Total</t>
  </si>
  <si>
    <t>Column Labels</t>
  </si>
  <si>
    <t>C:\Users\adam.daigneault\Documents\GitHub\moving-the-middle-abm\data\output</t>
  </si>
  <si>
    <t>C:\Users\adam.daigneault\Documents\GitHub\moving-the-middle-abm\data\spatial\Oreti</t>
  </si>
  <si>
    <t>no-landuse-change</t>
  </si>
  <si>
    <t>nudge_efficacy</t>
  </si>
  <si>
    <t>intervention_limits_Build_Wetland</t>
  </si>
  <si>
    <t>intervention_limits_Clean_Races</t>
  </si>
  <si>
    <t>intervention_limits_Farm_Plan</t>
  </si>
  <si>
    <t>intervention_limits_Riparian_Planting</t>
  </si>
  <si>
    <t>intervention_props_Build_Wetland</t>
  </si>
  <si>
    <t>intervention_props_Clean_Races</t>
  </si>
  <si>
    <t>intervention_props_Farm_Plan</t>
  </si>
  <si>
    <t>intervention_props_Riparian_Planting</t>
  </si>
  <si>
    <t>low-uptake</t>
  </si>
  <si>
    <t>low-tech-change</t>
  </si>
  <si>
    <t>farm-plan-only</t>
  </si>
  <si>
    <t>all-profit-farmers</t>
  </si>
  <si>
    <t>all-enviro-farmers</t>
  </si>
  <si>
    <t>Sum of env_metrics_ghg_emissions</t>
  </si>
  <si>
    <t>high-tech-change</t>
  </si>
  <si>
    <t>income_costs_netrev</t>
  </si>
  <si>
    <t>low-init-intervention</t>
  </si>
  <si>
    <t>high-debt</t>
  </si>
  <si>
    <t>scenairo_number</t>
  </si>
  <si>
    <t>scenario_name</t>
  </si>
  <si>
    <t>n/a</t>
  </si>
  <si>
    <t>Catchment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</si>
</sst>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6" fillId="0" borderId="0" xfId="0" applyFont="1" applyAlignment="1">
      <alignment horizontal="right"/>
    </xf>
    <xf numFmtId="3" fontId="0" fillId="0" borderId="0" xfId="0" applyNumberFormat="1"/>
    <xf numFmtId="3" fontId="0" fillId="0" borderId="10" xfId="0" applyNumberFormat="1" applyBorder="1"/>
    <xf numFmtId="9" fontId="0" fillId="0" borderId="0" xfId="42" applyFont="1"/>
    <xf numFmtId="9" fontId="0" fillId="0" borderId="10" xfId="42" applyFont="1" applyBorder="1"/>
    <xf numFmtId="164" fontId="0" fillId="0" borderId="0" xfId="0" applyNumberFormat="1"/>
    <xf numFmtId="164" fontId="0" fillId="0" borderId="10" xfId="0" applyNumberFormat="1" applyBorder="1"/>
    <xf numFmtId="0" fontId="16" fillId="33" borderId="0" xfId="0" applyFont="1" applyFill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[Oreti_Test_12May_Estimates.xlsx]Pivot!PivotTable1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default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Pivot!$B$5:$B$15</c:f>
              <c:numCache>
                <c:formatCode>#,##0</c:formatCode>
                <c:ptCount val="11"/>
                <c:pt idx="0">
                  <c:v>573476.255999999</c:v>
                </c:pt>
                <c:pt idx="1">
                  <c:v>573688.81600000104</c:v>
                </c:pt>
                <c:pt idx="2">
                  <c:v>473558.97600000002</c:v>
                </c:pt>
                <c:pt idx="3">
                  <c:v>398276.54399999999</c:v>
                </c:pt>
                <c:pt idx="4">
                  <c:v>319281.52</c:v>
                </c:pt>
                <c:pt idx="5">
                  <c:v>259758.511999999</c:v>
                </c:pt>
                <c:pt idx="6">
                  <c:v>193211.59999999899</c:v>
                </c:pt>
                <c:pt idx="7">
                  <c:v>139395.20000000001</c:v>
                </c:pt>
                <c:pt idx="8">
                  <c:v>93507.808000000005</c:v>
                </c:pt>
                <c:pt idx="9">
                  <c:v>41437.183999999899</c:v>
                </c:pt>
                <c:pt idx="10">
                  <c:v>-17878.975999999901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6-4DF1-91D9-E943829682B4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no-landuse-change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Pivot!$C$5:$C$15</c:f>
              <c:numCache>
                <c:formatCode>#,##0</c:formatCode>
                <c:ptCount val="11"/>
                <c:pt idx="0">
                  <c:v>573476.255999999</c:v>
                </c:pt>
                <c:pt idx="1">
                  <c:v>573688.81599999999</c:v>
                </c:pt>
                <c:pt idx="2">
                  <c:v>569291.58400000003</c:v>
                </c:pt>
                <c:pt idx="3">
                  <c:v>562195.05599999998</c:v>
                </c:pt>
                <c:pt idx="4">
                  <c:v>552403.903999998</c:v>
                </c:pt>
                <c:pt idx="5">
                  <c:v>547092.43200000003</c:v>
                </c:pt>
                <c:pt idx="6">
                  <c:v>543188.65599999903</c:v>
                </c:pt>
                <c:pt idx="7">
                  <c:v>535770.272</c:v>
                </c:pt>
                <c:pt idx="8">
                  <c:v>531178.54399999895</c:v>
                </c:pt>
                <c:pt idx="9">
                  <c:v>524572.72</c:v>
                </c:pt>
                <c:pt idx="10">
                  <c:v>522273.51999999897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C6-4DF1-91D9-E943829682B4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low-uptake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Pivot!$D$5:$D$15</c:f>
              <c:numCache>
                <c:formatCode>#,##0</c:formatCode>
                <c:ptCount val="11"/>
                <c:pt idx="0">
                  <c:v>573476.255999999</c:v>
                </c:pt>
                <c:pt idx="1">
                  <c:v>573688.81600000104</c:v>
                </c:pt>
                <c:pt idx="2">
                  <c:v>515152.46399999899</c:v>
                </c:pt>
                <c:pt idx="3">
                  <c:v>473025.00799999997</c:v>
                </c:pt>
                <c:pt idx="4">
                  <c:v>440143.32799999998</c:v>
                </c:pt>
                <c:pt idx="5">
                  <c:v>415527.36</c:v>
                </c:pt>
                <c:pt idx="6">
                  <c:v>390069.52</c:v>
                </c:pt>
                <c:pt idx="7">
                  <c:v>353764.86399999901</c:v>
                </c:pt>
                <c:pt idx="8">
                  <c:v>308853.58399999997</c:v>
                </c:pt>
                <c:pt idx="9">
                  <c:v>279883.23200000002</c:v>
                </c:pt>
                <c:pt idx="10">
                  <c:v>238790.864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C6-4DF1-91D9-E943829682B4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low-tech-change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Pivot!$E$5:$E$15</c:f>
              <c:numCache>
                <c:formatCode>#,##0</c:formatCode>
                <c:ptCount val="11"/>
                <c:pt idx="0">
                  <c:v>573476.255999999</c:v>
                </c:pt>
                <c:pt idx="1">
                  <c:v>573688.81600000104</c:v>
                </c:pt>
                <c:pt idx="2">
                  <c:v>473558.97600000002</c:v>
                </c:pt>
                <c:pt idx="3">
                  <c:v>408328.65599999903</c:v>
                </c:pt>
                <c:pt idx="4">
                  <c:v>302625.424</c:v>
                </c:pt>
                <c:pt idx="5">
                  <c:v>232467.32800000001</c:v>
                </c:pt>
                <c:pt idx="6">
                  <c:v>155498.079999999</c:v>
                </c:pt>
                <c:pt idx="7">
                  <c:v>97942.512000000002</c:v>
                </c:pt>
                <c:pt idx="8">
                  <c:v>48673.712</c:v>
                </c:pt>
                <c:pt idx="9">
                  <c:v>-36575.392</c:v>
                </c:pt>
                <c:pt idx="10">
                  <c:v>-107574.015999999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C6-4DF1-91D9-E943829682B4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farm-plan-only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Pivot!$F$5:$F$15</c:f>
              <c:numCache>
                <c:formatCode>#,##0</c:formatCode>
                <c:ptCount val="11"/>
                <c:pt idx="0">
                  <c:v>573476.255999999</c:v>
                </c:pt>
                <c:pt idx="1">
                  <c:v>573688.81600000104</c:v>
                </c:pt>
                <c:pt idx="2">
                  <c:v>478429.28</c:v>
                </c:pt>
                <c:pt idx="3">
                  <c:v>378042.495999999</c:v>
                </c:pt>
                <c:pt idx="4">
                  <c:v>325196</c:v>
                </c:pt>
                <c:pt idx="5">
                  <c:v>291194</c:v>
                </c:pt>
                <c:pt idx="6">
                  <c:v>231997.05599999899</c:v>
                </c:pt>
                <c:pt idx="7">
                  <c:v>180829.74400000001</c:v>
                </c:pt>
                <c:pt idx="8">
                  <c:v>146309.424</c:v>
                </c:pt>
                <c:pt idx="9">
                  <c:v>95303.487999999794</c:v>
                </c:pt>
                <c:pt idx="10">
                  <c:v>46901.039999999899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C6-4DF1-91D9-E943829682B4}"/>
            </c:ext>
          </c:extLst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all-profit-farmers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Pivot!$G$5:$G$15</c:f>
              <c:numCache>
                <c:formatCode>#,##0</c:formatCode>
                <c:ptCount val="11"/>
                <c:pt idx="0">
                  <c:v>573476.255999999</c:v>
                </c:pt>
                <c:pt idx="1">
                  <c:v>573688.81600000197</c:v>
                </c:pt>
                <c:pt idx="2">
                  <c:v>473463.087999999</c:v>
                </c:pt>
                <c:pt idx="3">
                  <c:v>371584.848</c:v>
                </c:pt>
                <c:pt idx="4">
                  <c:v>312012.32</c:v>
                </c:pt>
                <c:pt idx="5">
                  <c:v>252589.2</c:v>
                </c:pt>
                <c:pt idx="6">
                  <c:v>192368.32</c:v>
                </c:pt>
                <c:pt idx="7">
                  <c:v>139568.49600000001</c:v>
                </c:pt>
                <c:pt idx="8">
                  <c:v>93953.184000000096</c:v>
                </c:pt>
                <c:pt idx="9">
                  <c:v>47895.088000000098</c:v>
                </c:pt>
                <c:pt idx="10">
                  <c:v>11200.351999999901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C6-4DF1-91D9-E943829682B4}"/>
            </c:ext>
          </c:extLst>
        </c:ser>
        <c:ser>
          <c:idx val="6"/>
          <c:order val="6"/>
          <c:tx>
            <c:strRef>
              <c:f>Pivot!$H$3:$H$4</c:f>
              <c:strCache>
                <c:ptCount val="1"/>
                <c:pt idx="0">
                  <c:v>all-enviro-farmers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Pivot!$H$5:$H$15</c:f>
              <c:numCache>
                <c:formatCode>#,##0</c:formatCode>
                <c:ptCount val="11"/>
                <c:pt idx="0">
                  <c:v>573476.255999999</c:v>
                </c:pt>
                <c:pt idx="1">
                  <c:v>573688.81599999999</c:v>
                </c:pt>
                <c:pt idx="2">
                  <c:v>468477.85600000003</c:v>
                </c:pt>
                <c:pt idx="3">
                  <c:v>388477.29599999997</c:v>
                </c:pt>
                <c:pt idx="4">
                  <c:v>326116.28799999901</c:v>
                </c:pt>
                <c:pt idx="5">
                  <c:v>279341.90399999998</c:v>
                </c:pt>
                <c:pt idx="6">
                  <c:v>224375.96799999999</c:v>
                </c:pt>
                <c:pt idx="7">
                  <c:v>186175.53599999999</c:v>
                </c:pt>
                <c:pt idx="8">
                  <c:v>136920.60800000001</c:v>
                </c:pt>
                <c:pt idx="9">
                  <c:v>114982.399999999</c:v>
                </c:pt>
                <c:pt idx="10">
                  <c:v>62510.495999999999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C6-4DF1-91D9-E943829682B4}"/>
            </c:ext>
          </c:extLst>
        </c:ser>
        <c:ser>
          <c:idx val="7"/>
          <c:order val="7"/>
          <c:tx>
            <c:strRef>
              <c:f>Pivot!$I$3:$I$4</c:f>
              <c:strCache>
                <c:ptCount val="1"/>
                <c:pt idx="0">
                  <c:v>high-tech-change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Pivot!$I$5:$I$15</c:f>
              <c:numCache>
                <c:formatCode>#,##0</c:formatCode>
                <c:ptCount val="11"/>
                <c:pt idx="0">
                  <c:v>573476.255999999</c:v>
                </c:pt>
                <c:pt idx="1">
                  <c:v>573688.81600000104</c:v>
                </c:pt>
                <c:pt idx="2">
                  <c:v>473558.97600000002</c:v>
                </c:pt>
                <c:pt idx="3">
                  <c:v>394691.408</c:v>
                </c:pt>
                <c:pt idx="4">
                  <c:v>324008.83199999901</c:v>
                </c:pt>
                <c:pt idx="5">
                  <c:v>277180.52799999999</c:v>
                </c:pt>
                <c:pt idx="6">
                  <c:v>232646.22399999999</c:v>
                </c:pt>
                <c:pt idx="7">
                  <c:v>193040.76800000001</c:v>
                </c:pt>
                <c:pt idx="8">
                  <c:v>157387.88799999899</c:v>
                </c:pt>
                <c:pt idx="9">
                  <c:v>130653.84</c:v>
                </c:pt>
                <c:pt idx="10">
                  <c:v>78570.352000000101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C6-4DF1-91D9-E943829682B4}"/>
            </c:ext>
          </c:extLst>
        </c:ser>
        <c:ser>
          <c:idx val="8"/>
          <c:order val="8"/>
          <c:tx>
            <c:strRef>
              <c:f>Pivot!$J$3:$J$4</c:f>
              <c:strCache>
                <c:ptCount val="1"/>
                <c:pt idx="0">
                  <c:v>low-init-intervention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Pivot!$J$5:$J$15</c:f>
              <c:numCache>
                <c:formatCode>#,##0</c:formatCode>
                <c:ptCount val="11"/>
                <c:pt idx="0">
                  <c:v>584801.42399999895</c:v>
                </c:pt>
                <c:pt idx="1">
                  <c:v>585014</c:v>
                </c:pt>
                <c:pt idx="2">
                  <c:v>499772.01599999901</c:v>
                </c:pt>
                <c:pt idx="3">
                  <c:v>409320.97600000002</c:v>
                </c:pt>
                <c:pt idx="4">
                  <c:v>347371.760000001</c:v>
                </c:pt>
                <c:pt idx="5">
                  <c:v>286217.07199999999</c:v>
                </c:pt>
                <c:pt idx="6">
                  <c:v>230577.56799999901</c:v>
                </c:pt>
                <c:pt idx="7">
                  <c:v>181070.97599999901</c:v>
                </c:pt>
                <c:pt idx="8">
                  <c:v>131950.38399999999</c:v>
                </c:pt>
                <c:pt idx="9">
                  <c:v>86075.1519999999</c:v>
                </c:pt>
                <c:pt idx="10">
                  <c:v>47792.688000000002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C6-4DF1-91D9-E943829682B4}"/>
            </c:ext>
          </c:extLst>
        </c:ser>
        <c:ser>
          <c:idx val="9"/>
          <c:order val="9"/>
          <c:tx>
            <c:strRef>
              <c:f>Pivot!$K$3:$K$4</c:f>
              <c:strCache>
                <c:ptCount val="1"/>
                <c:pt idx="0">
                  <c:v>high-debt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Pivot!$A$5:$A$15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Pivot!$K$5:$K$15</c:f>
              <c:numCache>
                <c:formatCode>#,##0</c:formatCode>
                <c:ptCount val="11"/>
                <c:pt idx="0">
                  <c:v>573476.255999999</c:v>
                </c:pt>
                <c:pt idx="1">
                  <c:v>573688.81599999999</c:v>
                </c:pt>
                <c:pt idx="2">
                  <c:v>469751.29599999799</c:v>
                </c:pt>
                <c:pt idx="3">
                  <c:v>382663.63199999899</c:v>
                </c:pt>
                <c:pt idx="4">
                  <c:v>290566.255999999</c:v>
                </c:pt>
                <c:pt idx="5">
                  <c:v>219047.679999999</c:v>
                </c:pt>
                <c:pt idx="6">
                  <c:v>165272.41599999901</c:v>
                </c:pt>
                <c:pt idx="7">
                  <c:v>83907.296000000002</c:v>
                </c:pt>
                <c:pt idx="8">
                  <c:v>18913.679999999898</c:v>
                </c:pt>
                <c:pt idx="9">
                  <c:v>-34294.656000000003</c:v>
                </c:pt>
                <c:pt idx="10">
                  <c:v>-72697.615999999907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C6-4DF1-91D9-E94382968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827663"/>
        <c:axId val="1608776783"/>
      </c:lineChart>
      <c:catAx>
        <c:axId val="160882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76783"/>
        <c:crosses val="autoZero"/>
        <c:auto val="1"/>
        <c:lblAlgn val="ctr"/>
        <c:lblOffset val="100"/>
        <c:noMultiLvlLbl val="0"/>
      </c:catAx>
      <c:valAx>
        <c:axId val="16087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82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18</xdr:row>
      <xdr:rowOff>133349</xdr:rowOff>
    </xdr:from>
    <xdr:to>
      <xdr:col>10</xdr:col>
      <xdr:colOff>409575</xdr:colOff>
      <xdr:row>44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5E956-3E94-9A63-F563-7C8A3338D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Waihou-Test-12May26/Waihou_Test_12May_Estimates.xlsx" TargetMode="External"/><Relationship Id="rId2" Type="http://schemas.openxmlformats.org/officeDocument/2006/relationships/externalLinkPath" Target="file:///C:\Users\adam.daigneault\Documents\GitHub\moving-the-middle-abm\data\output\Waihou-Test-12May26\Waihou_Test_12May_Estimates.xlsx" TargetMode="External"/><Relationship Id="rId1" Type="http://schemas.openxmlformats.org/officeDocument/2006/relationships/externalLinkPath" Target="/Users/adam.daigneault/Documents/GitHub/moving-the-middle-abm/data/output/Waihou-Test-12May26/Waihou_Test_12May_Estim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enario"/>
      <sheetName val="Estimates"/>
      <sheetName val="Pivot"/>
    </sheetNames>
    <sheetDataSet>
      <sheetData sheetId="0">
        <row r="2">
          <cell r="B2" t="str">
            <v>default</v>
          </cell>
          <cell r="C2" t="str">
            <v>no-landuse-change</v>
          </cell>
          <cell r="D2" t="str">
            <v>low-uptake</v>
          </cell>
          <cell r="E2" t="str">
            <v>low-tech-change</v>
          </cell>
          <cell r="F2" t="str">
            <v>farm-plan-only</v>
          </cell>
          <cell r="G2" t="str">
            <v>all-profit-farmers</v>
          </cell>
          <cell r="H2" t="str">
            <v>all-enviro-farmers</v>
          </cell>
          <cell r="I2" t="str">
            <v>high-tech-change</v>
          </cell>
          <cell r="J2" t="str">
            <v>low-init-intervention</v>
          </cell>
          <cell r="K2" t="str">
            <v>high-debt</v>
          </cell>
          <cell r="L2" t="str">
            <v>n/a</v>
          </cell>
          <cell r="M2" t="str">
            <v>n/a</v>
          </cell>
          <cell r="N2" t="str">
            <v>n/a</v>
          </cell>
          <cell r="O2" t="str">
            <v>n/a</v>
          </cell>
        </row>
        <row r="10">
          <cell r="B10" t="str">
            <v>Waihou-Piako</v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J Daigneault" refreshedDate="46154.596352430555" createdVersion="8" refreshedVersion="8" minRefreshableVersion="3" recordCount="174" xr:uid="{B66FB0B5-8DDE-48C4-A50B-8D9CEF23F074}">
  <cacheSource type="worksheet">
    <worksheetSource ref="A1:AB1048576" sheet="Estimates"/>
  </cacheSource>
  <cacheFields count="28">
    <cacheField name="Catchment" numFmtId="0">
      <sharedItems containsBlank="1"/>
    </cacheField>
    <cacheField name="Scenario" numFmtId="0">
      <sharedItems containsBlank="1" count="12">
        <s v="default"/>
        <s v="no-landuse-change"/>
        <s v="low-uptake"/>
        <s v="low-tech-change"/>
        <s v="farm-plan-only"/>
        <s v="all-profit-farmers"/>
        <s v="all-enviro-farmers"/>
        <s v="high-tech-change"/>
        <s v="low-init-intervention"/>
        <s v="high-debt"/>
        <s v="n/a"/>
        <m/>
      </sharedItems>
    </cacheField>
    <cacheField name="tick" numFmtId="0">
      <sharedItems containsString="0" containsBlank="1" containsNumber="1" containsInteger="1" minValue="0" maxValue="10" count="12">
        <n v="0"/>
        <n v="1"/>
        <n v="2"/>
        <n v="3"/>
        <n v="4"/>
        <n v="5"/>
        <n v="6"/>
        <n v="7"/>
        <n v="8"/>
        <n v="9"/>
        <n v="10"/>
        <m/>
      </sharedItems>
    </cacheField>
    <cacheField name="income_costs_income" numFmtId="0">
      <sharedItems containsString="0" containsBlank="1" containsNumber="1" containsInteger="1" minValue="630418544" maxValue="752263686"/>
    </cacheField>
    <cacheField name="income_costs_costs" numFmtId="0">
      <sharedItems containsString="0" containsBlank="1" containsNumber="1" containsInteger="1" minValue="599254106" maxValue="618154794"/>
    </cacheField>
    <cacheField name="income_costs_debt" numFmtId="0">
      <sharedItems containsString="0" containsBlank="1" containsNumber="1" containsInteger="1" minValue="76344641" maxValue="284357792"/>
    </cacheField>
    <cacheField name="interventions_Build_Wetland" numFmtId="0">
      <sharedItems containsString="0" containsBlank="1" containsNumber="1" containsInteger="1" minValue="286" maxValue="5318"/>
    </cacheField>
    <cacheField name="interventions_Clean_Races" numFmtId="0">
      <sharedItems containsString="0" containsBlank="1" containsNumber="1" containsInteger="1" minValue="99" maxValue="2468"/>
    </cacheField>
    <cacheField name="interventions_Farm_Plan" numFmtId="0">
      <sharedItems containsString="0" containsBlank="1" containsNumber="1" containsInteger="1" minValue="240" maxValue="5454"/>
    </cacheField>
    <cacheField name="interventions_Riparian_Planting" numFmtId="0">
      <sharedItems containsString="0" containsBlank="1" containsNumber="1" containsInteger="1" minValue="294" maxValue="5310"/>
    </cacheField>
    <cacheField name="intervention_limits_Build_Wetland" numFmtId="0">
      <sharedItems containsString="0" containsBlank="1" containsNumber="1" containsInteger="1" minValue="6882" maxValue="9068"/>
    </cacheField>
    <cacheField name="intervention_limits_Clean_Races" numFmtId="0">
      <sharedItems containsString="0" containsBlank="1" containsNumber="1" containsInteger="1" minValue="2644" maxValue="3558"/>
    </cacheField>
    <cacheField name="intervention_limits_Farm_Plan" numFmtId="0">
      <sharedItems containsString="0" containsBlank="1" containsNumber="1" containsInteger="1" minValue="6652" maxValue="9000"/>
    </cacheField>
    <cacheField name="intervention_limits_Riparian_Planting" numFmtId="0">
      <sharedItems containsString="0" containsBlank="1" containsNumber="1" containsInteger="1" minValue="6882" maxValue="9068"/>
    </cacheField>
    <cacheField name="intervention_props_Build_Wetland" numFmtId="0">
      <sharedItems containsString="0" containsBlank="1" containsNumber="1" minValue="3.15E-2" maxValue="0.70899999999999996"/>
    </cacheField>
    <cacheField name="intervention_props_Clean_Races" numFmtId="0">
      <sharedItems containsString="0" containsBlank="1" containsNumber="1" minValue="2.7799999999999998E-2" maxValue="0.89880000000000004"/>
    </cacheField>
    <cacheField name="intervention_props_Farm_Plan" numFmtId="0">
      <sharedItems containsString="0" containsBlank="1" containsNumber="1" minValue="2.6700000000000002E-2" maxValue="0.74690000000000001"/>
    </cacheField>
    <cacheField name="intervention_props_Riparian_Planting" numFmtId="0">
      <sharedItems containsString="0" containsBlank="1" containsNumber="1" minValue="3.2399999999999998E-2" maxValue="0.70789999999999997"/>
    </cacheField>
    <cacheField name="landuse_Crop" numFmtId="0">
      <sharedItems containsString="0" containsBlank="1" containsNumber="1" containsInteger="1" minValue="57" maxValue="230"/>
    </cacheField>
    <cacheField name="landuse_Dairy" numFmtId="0">
      <sharedItems containsString="0" containsBlank="1" containsNumber="1" containsInteger="1" minValue="2644" maxValue="3558"/>
    </cacheField>
    <cacheField name="landuse_Forest" numFmtId="0">
      <sharedItems containsString="0" containsBlank="1" containsNumber="1" containsInteger="1" minValue="1314" maxValue="3500"/>
    </cacheField>
    <cacheField name="landuse_SNB" numFmtId="0">
      <sharedItems containsString="0" containsBlank="1" containsNumber="1" containsInteger="1" minValue="4006" maxValue="5442"/>
    </cacheField>
    <cacheField name="env_metrics_ghg_emissions" numFmtId="0">
      <sharedItems containsString="0" containsBlank="1" containsNumber="1" minValue="-107574.015999999" maxValue="585014"/>
    </cacheField>
    <cacheField name="env_metrics_nitrates" numFmtId="0">
      <sharedItems containsString="0" containsBlank="1" containsNumber="1" minValue="1627959.6159999899" maxValue="3116631.7919999901"/>
    </cacheField>
    <cacheField name="env_metrics_sediment" numFmtId="0">
      <sharedItems containsString="0" containsBlank="1" containsNumber="1" minValue="318220.33599999902" maxValue="1514418.6399999899"/>
    </cacheField>
    <cacheField name="env_metrics_phosphates" numFmtId="0">
      <sharedItems containsString="0" containsBlank="1" containsNumber="1" minValue="37216.144" maxValue="93020.976000000097"/>
    </cacheField>
    <cacheField name="env_metrics_e_coli" numFmtId="0">
      <sharedItems containsString="0" containsBlank="1" containsNumber="1" minValue="169358.91200000001" maxValue="585738.576"/>
    </cacheField>
    <cacheField name="income_costs_netrev" numFmtId="0">
      <sharedItems containsString="0" containsBlank="1" containsNumber="1" containsInteger="1" minValue="22902455" maxValue="1369506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">
  <r>
    <s v="Waihou-Piako"/>
    <x v="0"/>
    <x v="0"/>
    <n v="718336707"/>
    <n v="616071747"/>
    <n v="200078113"/>
    <n v="1020"/>
    <n v="381"/>
    <n v="934"/>
    <n v="983"/>
    <n v="9068"/>
    <n v="3558"/>
    <n v="9000"/>
    <n v="9068"/>
    <n v="0.1125"/>
    <n v="0.1071"/>
    <n v="0.1038"/>
    <n v="0.1084"/>
    <n v="68"/>
    <n v="3558"/>
    <n v="1314"/>
    <n v="5442"/>
    <n v="573476.255999999"/>
    <n v="2966620.6879999898"/>
    <n v="1285647.4239999901"/>
    <n v="85011.712"/>
    <n v="523229.087999999"/>
    <n v="102264960"/>
  </r>
  <r>
    <s v="Waihou-Piako"/>
    <x v="0"/>
    <x v="1"/>
    <n v="718882591"/>
    <n v="615978889"/>
    <n v="241774176"/>
    <n v="1415"/>
    <n v="595"/>
    <n v="1351"/>
    <n v="1411"/>
    <n v="8761"/>
    <n v="3441"/>
    <n v="8682"/>
    <n v="8761"/>
    <n v="0.1615"/>
    <n v="0.1729"/>
    <n v="0.15559999999999999"/>
    <n v="0.16109999999999999"/>
    <n v="79"/>
    <n v="3441"/>
    <n v="1621"/>
    <n v="5241"/>
    <n v="573688.81600000104"/>
    <n v="2967115.7439999999"/>
    <n v="1284754.656"/>
    <n v="84952.815999999904"/>
    <n v="523171.26400000002"/>
    <n v="102903702"/>
  </r>
  <r>
    <s v="Waihou-Piako"/>
    <x v="0"/>
    <x v="2"/>
    <n v="716043208"/>
    <n v="615312997"/>
    <n v="231795017"/>
    <n v="1730"/>
    <n v="766"/>
    <n v="1798"/>
    <n v="1773"/>
    <n v="8533"/>
    <n v="3358"/>
    <n v="8446"/>
    <n v="8533"/>
    <n v="0.20269999999999999"/>
    <n v="0.2281"/>
    <n v="0.21290000000000001"/>
    <n v="0.20780000000000001"/>
    <n v="87"/>
    <n v="3358"/>
    <n v="1849"/>
    <n v="5088"/>
    <n v="473558.97600000002"/>
    <n v="2770889.6159999999"/>
    <n v="1128166.78399999"/>
    <n v="77986.047999999995"/>
    <n v="470136.255999999"/>
    <n v="100730211"/>
  </r>
  <r>
    <s v="Waihou-Piako"/>
    <x v="0"/>
    <x v="3"/>
    <n v="714793938"/>
    <n v="613587409"/>
    <n v="232997488"/>
    <n v="1998"/>
    <n v="958"/>
    <n v="2157"/>
    <n v="2145"/>
    <n v="8294"/>
    <n v="3272"/>
    <n v="8203"/>
    <n v="8294"/>
    <n v="0.2409"/>
    <n v="0.2928"/>
    <n v="0.26300000000000001"/>
    <n v="0.2586"/>
    <n v="91"/>
    <n v="3272"/>
    <n v="2088"/>
    <n v="4931"/>
    <n v="398276.54399999999"/>
    <n v="2635877.3759999899"/>
    <n v="993708.70400000003"/>
    <n v="72493.024000000005"/>
    <n v="427046.22399999999"/>
    <n v="101206529"/>
  </r>
  <r>
    <s v="Waihou-Piako"/>
    <x v="0"/>
    <x v="4"/>
    <n v="713601130"/>
    <n v="615134045"/>
    <n v="201051468"/>
    <n v="2269"/>
    <n v="1048"/>
    <n v="2424"/>
    <n v="2495"/>
    <n v="8135"/>
    <n v="3172"/>
    <n v="8029"/>
    <n v="8135"/>
    <n v="0.27889999999999998"/>
    <n v="0.33040000000000003"/>
    <n v="0.3019"/>
    <n v="0.30669999999999997"/>
    <n v="106"/>
    <n v="3172"/>
    <n v="2247"/>
    <n v="4857"/>
    <n v="319281.52"/>
    <n v="2482864.2239999902"/>
    <n v="875057.679999999"/>
    <n v="67650.175999999905"/>
    <n v="388640.223999999"/>
    <n v="98467085"/>
  </r>
  <r>
    <s v="Waihou-Piako"/>
    <x v="0"/>
    <x v="5"/>
    <n v="708588154"/>
    <n v="611342690"/>
    <n v="176828242"/>
    <n v="2520"/>
    <n v="1169"/>
    <n v="2662"/>
    <n v="2850"/>
    <n v="7938"/>
    <n v="3084"/>
    <n v="7823"/>
    <n v="7938"/>
    <n v="0.3175"/>
    <n v="0.37909999999999999"/>
    <n v="0.34029999999999999"/>
    <n v="0.35899999999999999"/>
    <n v="115"/>
    <n v="3084"/>
    <n v="2444"/>
    <n v="4739"/>
    <n v="259758.511999999"/>
    <n v="2343296.64"/>
    <n v="799481.90399999905"/>
    <n v="63161.392"/>
    <n v="357463.93599999999"/>
    <n v="97245464"/>
  </r>
  <r>
    <s v="Waihou-Piako"/>
    <x v="0"/>
    <x v="6"/>
    <n v="705462883"/>
    <n v="609010407"/>
    <n v="187352137"/>
    <n v="2855"/>
    <n v="1284"/>
    <n v="3027"/>
    <n v="3017"/>
    <n v="7784"/>
    <n v="3006"/>
    <n v="7657"/>
    <n v="7784"/>
    <n v="0.36680000000000001"/>
    <n v="0.42709999999999998"/>
    <n v="0.39529999999999998"/>
    <n v="0.3876"/>
    <n v="127"/>
    <n v="3006"/>
    <n v="2598"/>
    <n v="4651"/>
    <n v="193211.59999999899"/>
    <n v="2210030.352"/>
    <n v="714195.00800000003"/>
    <n v="59021.951999999903"/>
    <n v="324655.44"/>
    <n v="96452476"/>
  </r>
  <r>
    <s v="Waihou-Piako"/>
    <x v="0"/>
    <x v="7"/>
    <n v="700987890"/>
    <n v="607476466"/>
    <n v="184666727"/>
    <n v="3104"/>
    <n v="1349"/>
    <n v="3456"/>
    <n v="3289"/>
    <n v="7662"/>
    <n v="2926"/>
    <n v="7542"/>
    <n v="7662"/>
    <n v="0.40510000000000002"/>
    <n v="0.46100000000000002"/>
    <n v="0.4582"/>
    <n v="0.42930000000000001"/>
    <n v="120"/>
    <n v="2926"/>
    <n v="2720"/>
    <n v="4616"/>
    <n v="139395.20000000001"/>
    <n v="2114194.656"/>
    <n v="654388.91199999896"/>
    <n v="55647.103999999999"/>
    <n v="300063.50400000002"/>
    <n v="93511424"/>
  </r>
  <r>
    <s v="Waihou-Piako"/>
    <x v="0"/>
    <x v="8"/>
    <n v="695994467"/>
    <n v="604660154"/>
    <n v="188789232"/>
    <n v="3315"/>
    <n v="1456"/>
    <n v="3745"/>
    <n v="3572"/>
    <n v="7519"/>
    <n v="2830"/>
    <n v="7389"/>
    <n v="7519"/>
    <n v="0.44090000000000001"/>
    <n v="0.51449999999999996"/>
    <n v="0.50680000000000003"/>
    <n v="0.47510000000000002"/>
    <n v="130"/>
    <n v="2830"/>
    <n v="2863"/>
    <n v="4559"/>
    <n v="93507.808000000005"/>
    <n v="2012452.112"/>
    <n v="570196.25599999796"/>
    <n v="52149.952000000099"/>
    <n v="276701.26400000002"/>
    <n v="91334313"/>
  </r>
  <r>
    <s v="Waihou-Piako"/>
    <x v="0"/>
    <x v="9"/>
    <n v="691362962"/>
    <n v="600576721"/>
    <n v="177169739"/>
    <n v="3368"/>
    <n v="1459"/>
    <n v="3894"/>
    <n v="3648"/>
    <n v="7325"/>
    <n v="2773"/>
    <n v="7188"/>
    <n v="7325"/>
    <n v="0.45979999999999999"/>
    <n v="0.52610000000000001"/>
    <n v="0.54169999999999996"/>
    <n v="0.498"/>
    <n v="137"/>
    <n v="2773"/>
    <n v="3057"/>
    <n v="4415"/>
    <n v="41437.183999999899"/>
    <n v="1894168.848"/>
    <n v="520807.03999999899"/>
    <n v="48887.663999999997"/>
    <n v="253771.90399999899"/>
    <n v="90786241"/>
  </r>
  <r>
    <s v="Waihou-Piako"/>
    <x v="0"/>
    <x v="10"/>
    <n v="692806687"/>
    <n v="602344654"/>
    <n v="183654015"/>
    <n v="3454"/>
    <n v="1561"/>
    <n v="3920"/>
    <n v="3676"/>
    <n v="7120"/>
    <n v="2739"/>
    <n v="6975"/>
    <n v="7120"/>
    <n v="0.48509999999999998"/>
    <n v="0.56989999999999996"/>
    <n v="0.56200000000000006"/>
    <n v="0.51629999999999998"/>
    <n v="145"/>
    <n v="2739"/>
    <n v="3262"/>
    <n v="4236"/>
    <n v="-17878.975999999901"/>
    <n v="1820594.84799999"/>
    <n v="491729.91999999998"/>
    <n v="46902"/>
    <n v="238237.47200000001"/>
    <n v="90462033"/>
  </r>
  <r>
    <s v="Waihou-Piako"/>
    <x v="1"/>
    <x v="0"/>
    <n v="718336707"/>
    <n v="616071747"/>
    <n v="200078113"/>
    <n v="1020"/>
    <n v="381"/>
    <n v="934"/>
    <n v="983"/>
    <n v="9068"/>
    <n v="3558"/>
    <n v="9000"/>
    <n v="9068"/>
    <n v="0.1125"/>
    <n v="0.1071"/>
    <n v="0.1038"/>
    <n v="0.1084"/>
    <n v="68"/>
    <n v="3558"/>
    <n v="1314"/>
    <n v="5442"/>
    <n v="573476.255999999"/>
    <n v="2966620.6879999898"/>
    <n v="1285647.4239999901"/>
    <n v="85011.712"/>
    <n v="523229.087999999"/>
    <n v="102264960"/>
  </r>
  <r>
    <s v="Waihou-Piako"/>
    <x v="1"/>
    <x v="1"/>
    <n v="718882591"/>
    <n v="615978889"/>
    <n v="244045336"/>
    <n v="1302"/>
    <n v="577"/>
    <n v="1348"/>
    <n v="1336"/>
    <n v="9068"/>
    <n v="3558"/>
    <n v="9000"/>
    <n v="9068"/>
    <n v="0.14360000000000001"/>
    <n v="0.16220000000000001"/>
    <n v="0.14979999999999999"/>
    <n v="0.14729999999999999"/>
    <n v="68"/>
    <n v="3558"/>
    <n v="1314"/>
    <n v="5442"/>
    <n v="573688.81599999999"/>
    <n v="2967115.7439999902"/>
    <n v="1284754.6559999899"/>
    <n v="84952.815999999904"/>
    <n v="523171.26400000002"/>
    <n v="102903702"/>
  </r>
  <r>
    <s v="Waihou-Piako"/>
    <x v="1"/>
    <x v="2"/>
    <n v="717216373"/>
    <n v="615344134"/>
    <n v="253952302"/>
    <n v="1783"/>
    <n v="845"/>
    <n v="1713"/>
    <n v="1724"/>
    <n v="9068"/>
    <n v="3558"/>
    <n v="9000"/>
    <n v="9068"/>
    <n v="0.1966"/>
    <n v="0.23749999999999999"/>
    <n v="0.1903"/>
    <n v="0.19009999999999999"/>
    <n v="68"/>
    <n v="3558"/>
    <n v="1314"/>
    <n v="5442"/>
    <n v="569291.58400000003"/>
    <n v="2892298.9919999898"/>
    <n v="1182999.93599999"/>
    <n v="81013.711999999898"/>
    <n v="494107.77599999798"/>
    <n v="101872239"/>
  </r>
  <r>
    <s v="Waihou-Piako"/>
    <x v="1"/>
    <x v="3"/>
    <n v="716354636"/>
    <n v="615267598"/>
    <n v="214174019"/>
    <n v="2312"/>
    <n v="1088"/>
    <n v="2208"/>
    <n v="2229"/>
    <n v="9068"/>
    <n v="3558"/>
    <n v="9000"/>
    <n v="9068"/>
    <n v="0.255"/>
    <n v="0.30580000000000002"/>
    <n v="0.24529999999999999"/>
    <n v="0.24579999999999999"/>
    <n v="68"/>
    <n v="3558"/>
    <n v="1314"/>
    <n v="5442"/>
    <n v="562195.05599999998"/>
    <n v="2810483.0079999999"/>
    <n v="1064227.93599999"/>
    <n v="76690.032000000094"/>
    <n v="458303.935999999"/>
    <n v="101087038"/>
  </r>
  <r>
    <s v="Waihou-Piako"/>
    <x v="1"/>
    <x v="4"/>
    <n v="712864789"/>
    <n v="616552834"/>
    <n v="193508667"/>
    <n v="2622"/>
    <n v="1312"/>
    <n v="2606"/>
    <n v="2630"/>
    <n v="9068"/>
    <n v="3558"/>
    <n v="9000"/>
    <n v="9068"/>
    <n v="0.28910000000000002"/>
    <n v="0.36870000000000003"/>
    <n v="0.28960000000000002"/>
    <n v="0.28999999999999998"/>
    <n v="68"/>
    <n v="3558"/>
    <n v="1314"/>
    <n v="5442"/>
    <n v="552403.903999998"/>
    <n v="2698253.10399999"/>
    <n v="933012.25600000098"/>
    <n v="71107.567999999897"/>
    <n v="417970.17599999998"/>
    <n v="96311955"/>
  </r>
  <r>
    <s v="Waihou-Piako"/>
    <x v="1"/>
    <x v="5"/>
    <n v="710750415"/>
    <n v="615840165"/>
    <n v="195409274"/>
    <n v="3021"/>
    <n v="1480"/>
    <n v="2937"/>
    <n v="3038"/>
    <n v="9068"/>
    <n v="3558"/>
    <n v="9000"/>
    <n v="9068"/>
    <n v="0.33310000000000001"/>
    <n v="0.41599999999999998"/>
    <n v="0.32629999999999998"/>
    <n v="0.33500000000000002"/>
    <n v="68"/>
    <n v="3558"/>
    <n v="1314"/>
    <n v="5442"/>
    <n v="547092.43200000003"/>
    <n v="2613063.58399999"/>
    <n v="847559.68000000005"/>
    <n v="67250.847999999707"/>
    <n v="388399.45600000001"/>
    <n v="94910250"/>
  </r>
  <r>
    <s v="Waihou-Piako"/>
    <x v="1"/>
    <x v="6"/>
    <n v="709293563"/>
    <n v="616978493"/>
    <n v="193621860"/>
    <n v="3372"/>
    <n v="1621"/>
    <n v="3354"/>
    <n v="3306"/>
    <n v="9068"/>
    <n v="3558"/>
    <n v="9000"/>
    <n v="9068"/>
    <n v="0.37190000000000001"/>
    <n v="0.4556"/>
    <n v="0.37269999999999998"/>
    <n v="0.36459999999999998"/>
    <n v="68"/>
    <n v="3558"/>
    <n v="1314"/>
    <n v="5442"/>
    <n v="543188.65599999903"/>
    <n v="2534965.872"/>
    <n v="768829.63199999998"/>
    <n v="63661.152000000002"/>
    <n v="362697.31199999998"/>
    <n v="92315070"/>
  </r>
  <r>
    <s v="Waihou-Piako"/>
    <x v="1"/>
    <x v="7"/>
    <n v="707512751"/>
    <n v="616715136"/>
    <n v="186436025"/>
    <n v="3665"/>
    <n v="1820"/>
    <n v="3662"/>
    <n v="3647"/>
    <n v="9068"/>
    <n v="3558"/>
    <n v="9000"/>
    <n v="9068"/>
    <n v="0.4042"/>
    <n v="0.51149999999999995"/>
    <n v="0.40689999999999998"/>
    <n v="0.4022"/>
    <n v="68"/>
    <n v="3558"/>
    <n v="1314"/>
    <n v="5442"/>
    <n v="535770.272"/>
    <n v="2462476.56"/>
    <n v="713429.71200000006"/>
    <n v="60665.0079999999"/>
    <n v="342051.82400000002"/>
    <n v="90797615"/>
  </r>
  <r>
    <s v="Waihou-Piako"/>
    <x v="1"/>
    <x v="8"/>
    <n v="706624336"/>
    <n v="616766295"/>
    <n v="190458946"/>
    <n v="3979"/>
    <n v="1982"/>
    <n v="3915"/>
    <n v="3991"/>
    <n v="9068"/>
    <n v="3558"/>
    <n v="9000"/>
    <n v="9068"/>
    <n v="0.43880000000000002"/>
    <n v="0.55710000000000004"/>
    <n v="0.435"/>
    <n v="0.44009999999999999"/>
    <n v="68"/>
    <n v="3558"/>
    <n v="1314"/>
    <n v="5442"/>
    <n v="531178.54399999895"/>
    <n v="2398196.6879999898"/>
    <n v="646126.57599999895"/>
    <n v="57752.2239999999"/>
    <n v="321161.071999999"/>
    <n v="89858041"/>
  </r>
  <r>
    <s v="Waihou-Piako"/>
    <x v="1"/>
    <x v="9"/>
    <n v="705051960"/>
    <n v="616873898"/>
    <n v="217599908"/>
    <n v="4261"/>
    <n v="2138"/>
    <n v="4212"/>
    <n v="4202"/>
    <n v="9068"/>
    <n v="3558"/>
    <n v="9000"/>
    <n v="9068"/>
    <n v="0.46989999999999998"/>
    <n v="0.60089999999999999"/>
    <n v="0.46800000000000003"/>
    <n v="0.46339999999999998"/>
    <n v="68"/>
    <n v="3558"/>
    <n v="1314"/>
    <n v="5442"/>
    <n v="524572.72"/>
    <n v="2320800.49599999"/>
    <n v="597114.01599999995"/>
    <n v="54986.239999999998"/>
    <n v="301361.10399999999"/>
    <n v="88178062"/>
  </r>
  <r>
    <s v="Waihou-Piako"/>
    <x v="1"/>
    <x v="10"/>
    <n v="704027199"/>
    <n v="617046240"/>
    <n v="218278836"/>
    <n v="4534"/>
    <n v="2297"/>
    <n v="4502"/>
    <n v="4401"/>
    <n v="9068"/>
    <n v="3558"/>
    <n v="9000"/>
    <n v="9068"/>
    <n v="0.5"/>
    <n v="0.64559999999999995"/>
    <n v="0.50019999999999998"/>
    <n v="0.48530000000000001"/>
    <n v="68"/>
    <n v="3558"/>
    <n v="1314"/>
    <n v="5442"/>
    <n v="522273.51999999897"/>
    <n v="2272601.392"/>
    <n v="544483.79199999804"/>
    <n v="52764.864000000103"/>
    <n v="285277.26399999898"/>
    <n v="86980959"/>
  </r>
  <r>
    <s v="Waihou-Piako"/>
    <x v="2"/>
    <x v="0"/>
    <n v="718336707"/>
    <n v="616071747"/>
    <n v="200078113"/>
    <n v="1020"/>
    <n v="381"/>
    <n v="934"/>
    <n v="983"/>
    <n v="9068"/>
    <n v="3558"/>
    <n v="9000"/>
    <n v="9068"/>
    <n v="0.1125"/>
    <n v="0.1071"/>
    <n v="0.1038"/>
    <n v="0.1084"/>
    <n v="68"/>
    <n v="3558"/>
    <n v="1314"/>
    <n v="5442"/>
    <n v="573476.255999999"/>
    <n v="2966620.6879999898"/>
    <n v="1285647.4239999901"/>
    <n v="85011.712"/>
    <n v="523229.087999999"/>
    <n v="102264960"/>
  </r>
  <r>
    <s v="Waihou-Piako"/>
    <x v="2"/>
    <x v="1"/>
    <n v="718882591"/>
    <n v="615978889"/>
    <n v="252772392"/>
    <n v="1154"/>
    <n v="453"/>
    <n v="1019"/>
    <n v="1049"/>
    <n v="8866"/>
    <n v="3493"/>
    <n v="8800"/>
    <n v="8866"/>
    <n v="0.13020000000000001"/>
    <n v="0.12970000000000001"/>
    <n v="0.1158"/>
    <n v="0.1183"/>
    <n v="66"/>
    <n v="3493"/>
    <n v="1516"/>
    <n v="5307"/>
    <n v="573688.81600000104"/>
    <n v="2967115.7439999999"/>
    <n v="1284754.656"/>
    <n v="84952.815999999904"/>
    <n v="523171.26400000101"/>
    <n v="102903702"/>
  </r>
  <r>
    <s v="Waihou-Piako"/>
    <x v="2"/>
    <x v="2"/>
    <n v="720003366"/>
    <n v="617380535"/>
    <n v="267558970"/>
    <n v="1227"/>
    <n v="470"/>
    <n v="1140"/>
    <n v="1187"/>
    <n v="8745"/>
    <n v="3423"/>
    <n v="8672"/>
    <n v="8745"/>
    <n v="0.14030000000000001"/>
    <n v="0.13730000000000001"/>
    <n v="0.13150000000000001"/>
    <n v="0.13569999999999999"/>
    <n v="73"/>
    <n v="3423"/>
    <n v="1637"/>
    <n v="5249"/>
    <n v="515152.46399999899"/>
    <n v="2890585.7279999899"/>
    <n v="1230805.8400000001"/>
    <n v="82624.56"/>
    <n v="501876.08"/>
    <n v="102622831"/>
  </r>
  <r>
    <s v="Waihou-Piako"/>
    <x v="2"/>
    <x v="3"/>
    <n v="717614009"/>
    <n v="614040577"/>
    <n v="264681686"/>
    <n v="1290"/>
    <n v="531"/>
    <n v="1213"/>
    <n v="1280"/>
    <n v="8640"/>
    <n v="3414"/>
    <n v="8563"/>
    <n v="8640"/>
    <n v="0.14929999999999999"/>
    <n v="0.1555"/>
    <n v="0.14169999999999999"/>
    <n v="0.14810000000000001"/>
    <n v="77"/>
    <n v="3414"/>
    <n v="1742"/>
    <n v="5149"/>
    <n v="473025.00799999997"/>
    <n v="2809874.736"/>
    <n v="1187066.4480000001"/>
    <n v="80221.871999999901"/>
    <n v="485419.31199999998"/>
    <n v="103573432"/>
  </r>
  <r>
    <s v="Waihou-Piako"/>
    <x v="2"/>
    <x v="4"/>
    <n v="718167369"/>
    <n v="615846102"/>
    <n v="231330006"/>
    <n v="1433"/>
    <n v="582"/>
    <n v="1389"/>
    <n v="1536"/>
    <n v="8570"/>
    <n v="3375"/>
    <n v="8495"/>
    <n v="8570"/>
    <n v="0.16719999999999999"/>
    <n v="0.1724"/>
    <n v="0.16350000000000001"/>
    <n v="0.1792"/>
    <n v="75"/>
    <n v="3375"/>
    <n v="1812"/>
    <n v="5120"/>
    <n v="440143.32799999998"/>
    <n v="2775316.9759999998"/>
    <n v="1145150.0479999899"/>
    <n v="78733.983999999895"/>
    <n v="472626.78399999999"/>
    <n v="102321267"/>
  </r>
  <r>
    <s v="Waihou-Piako"/>
    <x v="2"/>
    <x v="5"/>
    <n v="715813697"/>
    <n v="614854389"/>
    <n v="200254123"/>
    <n v="1579"/>
    <n v="667"/>
    <n v="1676"/>
    <n v="1701"/>
    <n v="8499"/>
    <n v="3335"/>
    <n v="8422"/>
    <n v="8499"/>
    <n v="0.18579999999999999"/>
    <n v="0.2"/>
    <n v="0.19900000000000001"/>
    <n v="0.2001"/>
    <n v="77"/>
    <n v="3335"/>
    <n v="1883"/>
    <n v="5087"/>
    <n v="415527.36"/>
    <n v="2700109.216"/>
    <n v="1089914.5759999999"/>
    <n v="76260.9920000001"/>
    <n v="452554.46399999998"/>
    <n v="100959308"/>
  </r>
  <r>
    <s v="Waihou-Piako"/>
    <x v="2"/>
    <x v="6"/>
    <n v="714077300"/>
    <n v="613001288"/>
    <n v="197498943"/>
    <n v="1689"/>
    <n v="712"/>
    <n v="1720"/>
    <n v="1862"/>
    <n v="8388"/>
    <n v="3284"/>
    <n v="8313"/>
    <n v="8388"/>
    <n v="0.2014"/>
    <n v="0.21679999999999999"/>
    <n v="0.2069"/>
    <n v="0.222"/>
    <n v="75"/>
    <n v="3284"/>
    <n v="1994"/>
    <n v="5029"/>
    <n v="390069.52"/>
    <n v="2642542.1759999902"/>
    <n v="1011124.464"/>
    <n v="73886.639999999898"/>
    <n v="437171.93599999999"/>
    <n v="101076012"/>
  </r>
  <r>
    <s v="Waihou-Piako"/>
    <x v="2"/>
    <x v="7"/>
    <n v="712121206"/>
    <n v="613156304"/>
    <n v="206122504"/>
    <n v="1806"/>
    <n v="731"/>
    <n v="1801"/>
    <n v="2004"/>
    <n v="8262"/>
    <n v="3218"/>
    <n v="8185"/>
    <n v="8262"/>
    <n v="0.21859999999999999"/>
    <n v="0.22720000000000001"/>
    <n v="0.22"/>
    <n v="0.24260000000000001"/>
    <n v="77"/>
    <n v="3218"/>
    <n v="2120"/>
    <n v="4967"/>
    <n v="353764.86399999901"/>
    <n v="2569555.3759999899"/>
    <n v="968989.92"/>
    <n v="71766.687999999995"/>
    <n v="419711.90400000103"/>
    <n v="98964902"/>
  </r>
  <r>
    <s v="Waihou-Piako"/>
    <x v="2"/>
    <x v="8"/>
    <n v="709392843"/>
    <n v="610614061"/>
    <n v="205984907"/>
    <n v="1885"/>
    <n v="784"/>
    <n v="1911"/>
    <n v="2093"/>
    <n v="8182"/>
    <n v="3166"/>
    <n v="8092"/>
    <n v="8182"/>
    <n v="0.23039999999999999"/>
    <n v="0.24759999999999999"/>
    <n v="0.23619999999999999"/>
    <n v="0.25580000000000003"/>
    <n v="90"/>
    <n v="3166"/>
    <n v="2200"/>
    <n v="4926"/>
    <n v="308853.58399999997"/>
    <n v="2481681.2799999998"/>
    <n v="933364.95999999903"/>
    <n v="69166.464000000095"/>
    <n v="404197.66399999999"/>
    <n v="98778782"/>
  </r>
  <r>
    <s v="Waihou-Piako"/>
    <x v="2"/>
    <x v="9"/>
    <n v="706752617"/>
    <n v="608950529"/>
    <n v="197733432"/>
    <n v="1911"/>
    <n v="809"/>
    <n v="1935"/>
    <n v="2282"/>
    <n v="8056"/>
    <n v="3107"/>
    <n v="7963"/>
    <n v="8056"/>
    <n v="0.23719999999999999"/>
    <n v="0.26040000000000002"/>
    <n v="0.24299999999999999"/>
    <n v="0.2833"/>
    <n v="93"/>
    <n v="3107"/>
    <n v="2326"/>
    <n v="4856"/>
    <n v="279883.23200000002"/>
    <n v="2436532.1439999901"/>
    <n v="897032.76800000004"/>
    <n v="67610.767999999996"/>
    <n v="391121.10399999999"/>
    <n v="97802088"/>
  </r>
  <r>
    <s v="Waihou-Piako"/>
    <x v="2"/>
    <x v="10"/>
    <n v="706108710"/>
    <n v="607581579"/>
    <n v="193686726"/>
    <n v="1965"/>
    <n v="833"/>
    <n v="1997"/>
    <n v="2332"/>
    <n v="7924"/>
    <n v="3028"/>
    <n v="7812"/>
    <n v="7924"/>
    <n v="0.248"/>
    <n v="0.27510000000000001"/>
    <n v="0.25559999999999999"/>
    <n v="0.29430000000000001"/>
    <n v="112"/>
    <n v="3028"/>
    <n v="2458"/>
    <n v="4784"/>
    <n v="238790.864"/>
    <n v="2372434.8480000002"/>
    <n v="866163.79200000002"/>
    <n v="65883.520000000004"/>
    <n v="375329.82400000002"/>
    <n v="98527131"/>
  </r>
  <r>
    <s v="Waihou-Piako"/>
    <x v="3"/>
    <x v="0"/>
    <n v="718336707"/>
    <n v="616071747"/>
    <n v="200078113"/>
    <n v="1020"/>
    <n v="381"/>
    <n v="934"/>
    <n v="983"/>
    <n v="9068"/>
    <n v="3558"/>
    <n v="9000"/>
    <n v="9068"/>
    <n v="0.1125"/>
    <n v="0.1071"/>
    <n v="0.1038"/>
    <n v="0.1084"/>
    <n v="68"/>
    <n v="3558"/>
    <n v="1314"/>
    <n v="5442"/>
    <n v="573476.255999999"/>
    <n v="2966620.6879999898"/>
    <n v="1285647.4239999901"/>
    <n v="85011.712"/>
    <n v="523229.087999999"/>
    <n v="102264960"/>
  </r>
  <r>
    <s v="Waihou-Piako"/>
    <x v="3"/>
    <x v="1"/>
    <n v="718882591"/>
    <n v="615978889"/>
    <n v="241774176"/>
    <n v="1415"/>
    <n v="595"/>
    <n v="1351"/>
    <n v="1411"/>
    <n v="8761"/>
    <n v="3441"/>
    <n v="8682"/>
    <n v="8761"/>
    <n v="0.1615"/>
    <n v="0.1729"/>
    <n v="0.15559999999999999"/>
    <n v="0.16109999999999999"/>
    <n v="79"/>
    <n v="3441"/>
    <n v="1621"/>
    <n v="5241"/>
    <n v="573688.81600000104"/>
    <n v="2967115.7439999999"/>
    <n v="1284754.656"/>
    <n v="84952.815999999904"/>
    <n v="523171.26400000002"/>
    <n v="102903702"/>
  </r>
  <r>
    <s v="Waihou-Piako"/>
    <x v="3"/>
    <x v="2"/>
    <n v="644760685"/>
    <n v="615312997"/>
    <n v="162343643"/>
    <n v="1694"/>
    <n v="710"/>
    <n v="1637"/>
    <n v="1644"/>
    <n v="8576"/>
    <n v="3338"/>
    <n v="8492"/>
    <n v="8576"/>
    <n v="0.19750000000000001"/>
    <n v="0.2127"/>
    <n v="0.1928"/>
    <n v="0.19170000000000001"/>
    <n v="84"/>
    <n v="3338"/>
    <n v="1806"/>
    <n v="5154"/>
    <n v="473558.97600000002"/>
    <n v="2770889.6159999999"/>
    <n v="1128166.784"/>
    <n v="77986.047999999893"/>
    <n v="470136.25599999999"/>
    <n v="29447688"/>
  </r>
  <r>
    <s v="Waihou-Piako"/>
    <x v="3"/>
    <x v="3"/>
    <n v="640412028"/>
    <n v="611546445"/>
    <n v="127717813"/>
    <n v="1963"/>
    <n v="833"/>
    <n v="1861"/>
    <n v="1864"/>
    <n v="8250"/>
    <n v="3195"/>
    <n v="8142"/>
    <n v="8250"/>
    <n v="0.2379"/>
    <n v="0.26069999999999999"/>
    <n v="0.2286"/>
    <n v="0.22589999999999999"/>
    <n v="108"/>
    <n v="3195"/>
    <n v="2132"/>
    <n v="4947"/>
    <n v="408328.65599999903"/>
    <n v="2659281.04"/>
    <n v="1032743.39199999"/>
    <n v="73878.911999999895"/>
    <n v="438391.2"/>
    <n v="28865583"/>
  </r>
  <r>
    <s v="Waihou-Piako"/>
    <x v="3"/>
    <x v="4"/>
    <n v="637833197"/>
    <n v="609655879"/>
    <n v="93961790"/>
    <n v="2148"/>
    <n v="949"/>
    <n v="2031"/>
    <n v="2187"/>
    <n v="8035"/>
    <n v="3106"/>
    <n v="7874"/>
    <n v="8035"/>
    <n v="0.26729999999999998"/>
    <n v="0.30549999999999999"/>
    <n v="0.25790000000000002"/>
    <n v="0.2722"/>
    <n v="161"/>
    <n v="3106"/>
    <n v="2347"/>
    <n v="4768"/>
    <n v="302625.424"/>
    <n v="2503678.64"/>
    <n v="931454.03199999896"/>
    <n v="68923.167999999903"/>
    <n v="398312.55999999901"/>
    <n v="28177318"/>
  </r>
  <r>
    <s v="Waihou-Piako"/>
    <x v="3"/>
    <x v="5"/>
    <n v="637573781"/>
    <n v="610708274"/>
    <n v="76344641"/>
    <n v="2342"/>
    <n v="1084"/>
    <n v="2234"/>
    <n v="2343"/>
    <n v="7787"/>
    <n v="3033"/>
    <n v="7600"/>
    <n v="7787"/>
    <n v="0.30080000000000001"/>
    <n v="0.3574"/>
    <n v="0.29389999999999999"/>
    <n v="0.3009"/>
    <n v="187"/>
    <n v="3033"/>
    <n v="2595"/>
    <n v="4567"/>
    <n v="232467.32800000001"/>
    <n v="2363995.3119999901"/>
    <n v="858577.58399999805"/>
    <n v="64459.199999999903"/>
    <n v="365195.02399999899"/>
    <n v="26865507"/>
  </r>
  <r>
    <s v="Waihou-Piako"/>
    <x v="3"/>
    <x v="6"/>
    <n v="639354733"/>
    <n v="612278415"/>
    <n v="79943821"/>
    <n v="2632"/>
    <n v="1214"/>
    <n v="2469"/>
    <n v="2595"/>
    <n v="7614"/>
    <n v="2947"/>
    <n v="7402"/>
    <n v="7614"/>
    <n v="0.34570000000000001"/>
    <n v="0.41189999999999999"/>
    <n v="0.33360000000000001"/>
    <n v="0.34079999999999999"/>
    <n v="212"/>
    <n v="2947"/>
    <n v="2768"/>
    <n v="4455"/>
    <n v="155498.079999999"/>
    <n v="2262949.9040000001"/>
    <n v="794672.68799999903"/>
    <n v="61029.072"/>
    <n v="334430.03199999902"/>
    <n v="27076318"/>
  </r>
  <r>
    <s v="Waihou-Piako"/>
    <x v="3"/>
    <x v="7"/>
    <n v="637329316"/>
    <n v="611193100"/>
    <n v="77763524"/>
    <n v="2835"/>
    <n v="1332"/>
    <n v="2926"/>
    <n v="2957"/>
    <n v="7477"/>
    <n v="2884"/>
    <n v="7253"/>
    <n v="7477"/>
    <n v="0.37919999999999998"/>
    <n v="0.46189999999999998"/>
    <n v="0.40339999999999998"/>
    <n v="0.39550000000000002"/>
    <n v="224"/>
    <n v="2884"/>
    <n v="2905"/>
    <n v="4369"/>
    <n v="97942.512000000002"/>
    <n v="2145630.16"/>
    <n v="721283.48800000094"/>
    <n v="57104.416000000201"/>
    <n v="305619.00799999997"/>
    <n v="26136216"/>
  </r>
  <r>
    <s v="Waihou-Piako"/>
    <x v="3"/>
    <x v="8"/>
    <n v="634671176"/>
    <n v="609909688"/>
    <n v="94027436"/>
    <n v="2988"/>
    <n v="1406"/>
    <n v="3171"/>
    <n v="3116"/>
    <n v="7220"/>
    <n v="2752"/>
    <n v="7021"/>
    <n v="7220"/>
    <n v="0.41389999999999999"/>
    <n v="0.51090000000000002"/>
    <n v="0.4516"/>
    <n v="0.43159999999999998"/>
    <n v="199"/>
    <n v="2752"/>
    <n v="3162"/>
    <n v="4269"/>
    <n v="48673.712"/>
    <n v="2021836.7520000001"/>
    <n v="614804.33599999896"/>
    <n v="53042.431999999899"/>
    <n v="278201.39199999999"/>
    <n v="24761488"/>
  </r>
  <r>
    <s v="Waihou-Piako"/>
    <x v="3"/>
    <x v="9"/>
    <n v="630418544"/>
    <n v="607516089"/>
    <n v="89206937"/>
    <n v="3112"/>
    <n v="1433"/>
    <n v="3332"/>
    <n v="3202"/>
    <n v="6985"/>
    <n v="2671"/>
    <n v="6757"/>
    <n v="6985"/>
    <n v="0.44550000000000001"/>
    <n v="0.53649999999999998"/>
    <n v="0.49309999999999998"/>
    <n v="0.45839999999999997"/>
    <n v="228"/>
    <n v="2671"/>
    <n v="3397"/>
    <n v="4086"/>
    <n v="-36575.392"/>
    <n v="1890303.0559999901"/>
    <n v="567747.36"/>
    <n v="50014.8480000001"/>
    <n v="256064.959999999"/>
    <n v="22902455"/>
  </r>
  <r>
    <s v="Waihou-Piako"/>
    <x v="3"/>
    <x v="10"/>
    <n v="631936192"/>
    <n v="608233220"/>
    <n v="80439643"/>
    <n v="3336"/>
    <n v="1514"/>
    <n v="3441"/>
    <n v="3324"/>
    <n v="6882"/>
    <n v="2646"/>
    <n v="6652"/>
    <n v="6882"/>
    <n v="0.48470000000000002"/>
    <n v="0.57220000000000004"/>
    <n v="0.51729999999999998"/>
    <n v="0.48299999999999998"/>
    <n v="230"/>
    <n v="2646"/>
    <n v="3500"/>
    <n v="4006"/>
    <n v="-107574.015999999"/>
    <n v="1809544.8319999999"/>
    <n v="519441.00799999898"/>
    <n v="47875.631999999903"/>
    <n v="237805.37599999999"/>
    <n v="23702972"/>
  </r>
  <r>
    <s v="Waihou-Piako"/>
    <x v="4"/>
    <x v="0"/>
    <n v="718336707"/>
    <n v="616071747"/>
    <n v="200078113"/>
    <n v="1020"/>
    <n v="381"/>
    <n v="934"/>
    <n v="983"/>
    <n v="9068"/>
    <n v="3558"/>
    <n v="9000"/>
    <n v="9068"/>
    <n v="0.1125"/>
    <n v="0.1071"/>
    <n v="0.1038"/>
    <n v="0.1084"/>
    <n v="68"/>
    <n v="3558"/>
    <n v="1314"/>
    <n v="5442"/>
    <n v="573476.255999999"/>
    <n v="2966620.6879999898"/>
    <n v="1285647.4239999901"/>
    <n v="85011.712"/>
    <n v="523229.087999999"/>
    <n v="102264960"/>
  </r>
  <r>
    <s v="Waihou-Piako"/>
    <x v="4"/>
    <x v="1"/>
    <n v="718882591"/>
    <n v="615978889"/>
    <n v="253050372"/>
    <n v="964"/>
    <n v="381"/>
    <n v="1351"/>
    <n v="950"/>
    <n v="8761"/>
    <n v="3441"/>
    <n v="8682"/>
    <n v="8761"/>
    <n v="0.11"/>
    <n v="0.11070000000000001"/>
    <n v="0.15559999999999999"/>
    <n v="0.1084"/>
    <n v="79"/>
    <n v="3441"/>
    <n v="1621"/>
    <n v="5241"/>
    <n v="573688.81600000104"/>
    <n v="2967115.7439999902"/>
    <n v="1284754.6559999899"/>
    <n v="84952.816000000006"/>
    <n v="523171.26400000002"/>
    <n v="102903702"/>
  </r>
  <r>
    <s v="Waihou-Piako"/>
    <x v="4"/>
    <x v="2"/>
    <n v="718086759"/>
    <n v="614750347"/>
    <n v="262788721"/>
    <n v="929"/>
    <n v="366"/>
    <n v="1822"/>
    <n v="915"/>
    <n v="8442"/>
    <n v="3298"/>
    <n v="8352"/>
    <n v="8442"/>
    <n v="0.11"/>
    <n v="0.111"/>
    <n v="0.21820000000000001"/>
    <n v="0.1084"/>
    <n v="90"/>
    <n v="3298"/>
    <n v="1940"/>
    <n v="5054"/>
    <n v="478429.28"/>
    <n v="2881779.45599999"/>
    <n v="1214616.97599999"/>
    <n v="82661.120000000097"/>
    <n v="505612.54399999999"/>
    <n v="103336412"/>
  </r>
  <r>
    <s v="Waihou-Piako"/>
    <x v="4"/>
    <x v="3"/>
    <n v="716508715"/>
    <n v="611969319"/>
    <n v="245075589"/>
    <n v="916"/>
    <n v="359"/>
    <n v="2175"/>
    <n v="896"/>
    <n v="8294"/>
    <n v="3236"/>
    <n v="8188"/>
    <n v="8294"/>
    <n v="0.1104"/>
    <n v="0.1109"/>
    <n v="0.2656"/>
    <n v="0.108"/>
    <n v="106"/>
    <n v="3236"/>
    <n v="2088"/>
    <n v="4952"/>
    <n v="378042.495999999"/>
    <n v="2779568.19199999"/>
    <n v="1130281.6000000001"/>
    <n v="79640.911999999997"/>
    <n v="484441.66399999999"/>
    <n v="104539396"/>
  </r>
  <r>
    <s v="Waihou-Piako"/>
    <x v="4"/>
    <x v="4"/>
    <n v="715185881"/>
    <n v="611210723"/>
    <n v="250445715"/>
    <n v="889"/>
    <n v="332"/>
    <n v="2564"/>
    <n v="880"/>
    <n v="8191"/>
    <n v="3183"/>
    <n v="8085"/>
    <n v="8191"/>
    <n v="0.1085"/>
    <n v="0.1043"/>
    <n v="0.31709999999999999"/>
    <n v="0.1074"/>
    <n v="106"/>
    <n v="3183"/>
    <n v="2191"/>
    <n v="4902"/>
    <n v="325196"/>
    <n v="2743230.4640000002"/>
    <n v="1088220.656"/>
    <n v="78107.423999999999"/>
    <n v="473786.16"/>
    <n v="103975158"/>
  </r>
  <r>
    <s v="Waihou-Piako"/>
    <x v="4"/>
    <x v="5"/>
    <n v="713565883"/>
    <n v="609920379"/>
    <n v="217714244"/>
    <n v="854"/>
    <n v="304"/>
    <n v="2880"/>
    <n v="837"/>
    <n v="7991"/>
    <n v="3121"/>
    <n v="7864"/>
    <n v="7991"/>
    <n v="0.1069"/>
    <n v="9.74E-2"/>
    <n v="0.36620000000000003"/>
    <n v="0.1047"/>
    <n v="127"/>
    <n v="3121"/>
    <n v="2391"/>
    <n v="4743"/>
    <n v="291194"/>
    <n v="2714079.5040000002"/>
    <n v="1036261.664"/>
    <n v="76841.936000000103"/>
    <n v="468253.64799999999"/>
    <n v="103645504"/>
  </r>
  <r>
    <s v="Waihou-Piako"/>
    <x v="4"/>
    <x v="6"/>
    <n v="714087426"/>
    <n v="612412668"/>
    <n v="198470182"/>
    <n v="841"/>
    <n v="302"/>
    <n v="3107"/>
    <n v="809"/>
    <n v="7832"/>
    <n v="3068"/>
    <n v="7719"/>
    <n v="7832"/>
    <n v="0.1074"/>
    <n v="9.8400000000000001E-2"/>
    <n v="0.40250000000000002"/>
    <n v="0.1033"/>
    <n v="113"/>
    <n v="3068"/>
    <n v="2550"/>
    <n v="4651"/>
    <n v="231997.05599999899"/>
    <n v="2668302.2719999999"/>
    <n v="986797.74399999995"/>
    <n v="75230.512000000104"/>
    <n v="456588.44799999899"/>
    <n v="101674758"/>
  </r>
  <r>
    <s v="Waihou-Piako"/>
    <x v="4"/>
    <x v="7"/>
    <n v="714435539"/>
    <n v="611983469"/>
    <n v="185713550"/>
    <n v="826"/>
    <n v="296"/>
    <n v="3316"/>
    <n v="797"/>
    <n v="7734"/>
    <n v="3001"/>
    <n v="7606"/>
    <n v="7734"/>
    <n v="0.10680000000000001"/>
    <n v="9.8599999999999993E-2"/>
    <n v="0.436"/>
    <n v="0.1031"/>
    <n v="128"/>
    <n v="3001"/>
    <n v="2648"/>
    <n v="4605"/>
    <n v="180829.74400000001"/>
    <n v="2623749.264"/>
    <n v="951272.01600000204"/>
    <n v="74040.272000000201"/>
    <n v="447592.41600000003"/>
    <n v="102452070"/>
  </r>
  <r>
    <s v="Waihou-Piako"/>
    <x v="4"/>
    <x v="8"/>
    <n v="710599112"/>
    <n v="608361053"/>
    <n v="184912150"/>
    <n v="809"/>
    <n v="278"/>
    <n v="3449"/>
    <n v="740"/>
    <n v="7570"/>
    <n v="2950"/>
    <n v="7422"/>
    <n v="7570"/>
    <n v="0.1069"/>
    <n v="9.4200000000000006E-2"/>
    <n v="0.4647"/>
    <n v="9.7799999999999998E-2"/>
    <n v="148"/>
    <n v="2950"/>
    <n v="2812"/>
    <n v="4472"/>
    <n v="146309.424"/>
    <n v="2591360.3519999902"/>
    <n v="922271.56799999799"/>
    <n v="72808.047999999995"/>
    <n v="440982.11200000002"/>
    <n v="102238059"/>
  </r>
  <r>
    <s v="Waihou-Piako"/>
    <x v="4"/>
    <x v="9"/>
    <n v="712371622"/>
    <n v="609445219"/>
    <n v="190825059"/>
    <n v="792"/>
    <n v="275"/>
    <n v="3783"/>
    <n v="735"/>
    <n v="7418"/>
    <n v="2860"/>
    <n v="7257"/>
    <n v="7418"/>
    <n v="0.10680000000000001"/>
    <n v="9.6199999999999994E-2"/>
    <n v="0.52129999999999999"/>
    <n v="9.9099999999999994E-2"/>
    <n v="161"/>
    <n v="2860"/>
    <n v="2964"/>
    <n v="4397"/>
    <n v="95303.487999999794"/>
    <n v="2548953.0720000002"/>
    <n v="887472.39999999898"/>
    <n v="71787.823999999993"/>
    <n v="432747.90399999899"/>
    <n v="102926403"/>
  </r>
  <r>
    <s v="Waihou-Piako"/>
    <x v="4"/>
    <x v="10"/>
    <n v="709253191"/>
    <n v="605925817"/>
    <n v="196927323"/>
    <n v="756"/>
    <n v="272"/>
    <n v="3996"/>
    <n v="732"/>
    <n v="7246"/>
    <n v="2803"/>
    <n v="7079"/>
    <n v="7246"/>
    <n v="0.1043"/>
    <n v="9.7000000000000003E-2"/>
    <n v="0.5645"/>
    <n v="0.10100000000000001"/>
    <n v="167"/>
    <n v="2803"/>
    <n v="3136"/>
    <n v="4276"/>
    <n v="46901.039999999899"/>
    <n v="2493284.9439999899"/>
    <n v="820529.03999999701"/>
    <n v="70095.296000000002"/>
    <n v="421575.10399999999"/>
    <n v="103327374"/>
  </r>
  <r>
    <s v="Waihou-Piako"/>
    <x v="5"/>
    <x v="0"/>
    <n v="718336707"/>
    <n v="616071747"/>
    <n v="200078113"/>
    <n v="1020"/>
    <n v="381"/>
    <n v="934"/>
    <n v="983"/>
    <n v="9068"/>
    <n v="3558"/>
    <n v="9000"/>
    <n v="9068"/>
    <n v="0.1125"/>
    <n v="0.1071"/>
    <n v="0.1038"/>
    <n v="0.1084"/>
    <n v="68"/>
    <n v="3558"/>
    <n v="1314"/>
    <n v="5442"/>
    <n v="573476.255999999"/>
    <n v="2966620.6879999898"/>
    <n v="1285647.4239999901"/>
    <n v="85011.712"/>
    <n v="523229.087999999"/>
    <n v="102264960"/>
  </r>
  <r>
    <s v="Waihou-Piako"/>
    <x v="5"/>
    <x v="1"/>
    <n v="718882591"/>
    <n v="615978889"/>
    <n v="242870779"/>
    <n v="1356"/>
    <n v="579"/>
    <n v="1328"/>
    <n v="1394"/>
    <n v="8761"/>
    <n v="3441"/>
    <n v="8682"/>
    <n v="8761"/>
    <n v="0.15479999999999999"/>
    <n v="0.16830000000000001"/>
    <n v="0.153"/>
    <n v="0.15909999999999999"/>
    <n v="79"/>
    <n v="3441"/>
    <n v="1621"/>
    <n v="5241"/>
    <n v="573688.81600000197"/>
    <n v="2967115.7439999902"/>
    <n v="1284754.6559999899"/>
    <n v="84952.815999999802"/>
    <n v="523171.26400000101"/>
    <n v="102903702"/>
  </r>
  <r>
    <s v="Waihou-Piako"/>
    <x v="5"/>
    <x v="2"/>
    <n v="716298598"/>
    <n v="615176751"/>
    <n v="231666377"/>
    <n v="1536"/>
    <n v="731"/>
    <n v="1750"/>
    <n v="1660"/>
    <n v="8443"/>
    <n v="3317"/>
    <n v="8348"/>
    <n v="8443"/>
    <n v="0.18190000000000001"/>
    <n v="0.22040000000000001"/>
    <n v="0.20960000000000001"/>
    <n v="0.1966"/>
    <n v="95"/>
    <n v="3317"/>
    <n v="1939"/>
    <n v="5031"/>
    <n v="473463.087999999"/>
    <n v="2771392.48"/>
    <n v="1137240.0959999899"/>
    <n v="78326.207999999897"/>
    <n v="473979.96799999999"/>
    <n v="101121847"/>
  </r>
  <r>
    <s v="Waihou-Piako"/>
    <x v="5"/>
    <x v="3"/>
    <n v="715578907"/>
    <n v="613365972"/>
    <n v="234120243"/>
    <n v="1819"/>
    <n v="854"/>
    <n v="2048"/>
    <n v="1902"/>
    <n v="8263"/>
    <n v="3272"/>
    <n v="8176"/>
    <n v="8263"/>
    <n v="0.22009999999999999"/>
    <n v="0.26100000000000001"/>
    <n v="0.2505"/>
    <n v="0.23019999999999999"/>
    <n v="87"/>
    <n v="3272"/>
    <n v="2119"/>
    <n v="4904"/>
    <n v="371584.848"/>
    <n v="2616525.5520000001"/>
    <n v="1030720.5919999901"/>
    <n v="73158.240000000194"/>
    <n v="433742.76799999899"/>
    <n v="102212935"/>
  </r>
  <r>
    <s v="Waihou-Piako"/>
    <x v="5"/>
    <x v="4"/>
    <n v="714716640"/>
    <n v="614681519"/>
    <n v="224981464"/>
    <n v="2175"/>
    <n v="987"/>
    <n v="2384"/>
    <n v="2224"/>
    <n v="8097"/>
    <n v="3193"/>
    <n v="8013"/>
    <n v="8097"/>
    <n v="0.26860000000000001"/>
    <n v="0.30909999999999999"/>
    <n v="0.29749999999999999"/>
    <n v="0.2747"/>
    <n v="84"/>
    <n v="3193"/>
    <n v="2285"/>
    <n v="4820"/>
    <n v="312012.32"/>
    <n v="2515215.1359999902"/>
    <n v="930887.31200000003"/>
    <n v="69216.479999999894"/>
    <n v="403917.72799999901"/>
    <n v="100035121"/>
  </r>
  <r>
    <s v="Waihou-Piako"/>
    <x v="5"/>
    <x v="5"/>
    <n v="711988891"/>
    <n v="612048144"/>
    <n v="194515350"/>
    <n v="2483"/>
    <n v="1147"/>
    <n v="2592"/>
    <n v="2574"/>
    <n v="7925"/>
    <n v="3104"/>
    <n v="7804"/>
    <n v="7925"/>
    <n v="0.31330000000000002"/>
    <n v="0.3695"/>
    <n v="0.33210000000000001"/>
    <n v="0.32479999999999998"/>
    <n v="121"/>
    <n v="3104"/>
    <n v="2457"/>
    <n v="4700"/>
    <n v="252589.2"/>
    <n v="2392622.2880000002"/>
    <n v="828312.15999999898"/>
    <n v="64749.504000000001"/>
    <n v="369589.12"/>
    <n v="99940747"/>
  </r>
  <r>
    <s v="Waihou-Piako"/>
    <x v="5"/>
    <x v="6"/>
    <n v="707548395"/>
    <n v="611840372"/>
    <n v="190935820"/>
    <n v="2647"/>
    <n v="1255"/>
    <n v="2777"/>
    <n v="2803"/>
    <n v="7758"/>
    <n v="3025"/>
    <n v="7609"/>
    <n v="7758"/>
    <n v="0.3412"/>
    <n v="0.41489999999999999"/>
    <n v="0.36499999999999999"/>
    <n v="0.36130000000000001"/>
    <n v="149"/>
    <n v="3025"/>
    <n v="2624"/>
    <n v="4584"/>
    <n v="192368.32"/>
    <n v="2257296.4479999901"/>
    <n v="750500.43199999898"/>
    <n v="60618.400000000001"/>
    <n v="337175.42400000099"/>
    <n v="95708023"/>
  </r>
  <r>
    <s v="Waihou-Piako"/>
    <x v="5"/>
    <x v="7"/>
    <n v="707176849"/>
    <n v="611859955"/>
    <n v="182154246"/>
    <n v="2889"/>
    <n v="1323"/>
    <n v="3009"/>
    <n v="2982"/>
    <n v="7625"/>
    <n v="2968"/>
    <n v="7479"/>
    <n v="7625"/>
    <n v="0.37890000000000001"/>
    <n v="0.44579999999999997"/>
    <n v="0.40229999999999999"/>
    <n v="0.3911"/>
    <n v="146"/>
    <n v="2968"/>
    <n v="2757"/>
    <n v="4511"/>
    <n v="139568.49600000001"/>
    <n v="2170186.5279999999"/>
    <n v="689930.255999999"/>
    <n v="57732.256000000001"/>
    <n v="311679.32799999998"/>
    <n v="95316894"/>
  </r>
  <r>
    <s v="Waihou-Piako"/>
    <x v="5"/>
    <x v="8"/>
    <n v="705547608"/>
    <n v="610574866"/>
    <n v="193795010"/>
    <n v="3044"/>
    <n v="1481"/>
    <n v="3206"/>
    <n v="3382"/>
    <n v="7493"/>
    <n v="2908"/>
    <n v="7327"/>
    <n v="7493"/>
    <n v="0.40620000000000001"/>
    <n v="0.50929999999999997"/>
    <n v="0.43759999999999999"/>
    <n v="0.45140000000000002"/>
    <n v="166"/>
    <n v="2908"/>
    <n v="2889"/>
    <n v="4419"/>
    <n v="93953.184000000096"/>
    <n v="2092850.128"/>
    <n v="640288.38399999903"/>
    <n v="54839.264000000003"/>
    <n v="290581.935999999"/>
    <n v="94972742"/>
  </r>
  <r>
    <s v="Waihou-Piako"/>
    <x v="5"/>
    <x v="9"/>
    <n v="703589877"/>
    <n v="610119901"/>
    <n v="206104606"/>
    <n v="3280"/>
    <n v="1601"/>
    <n v="3329"/>
    <n v="3510"/>
    <n v="7367"/>
    <n v="2888"/>
    <n v="7199"/>
    <n v="7367"/>
    <n v="0.44519999999999998"/>
    <n v="0.5544"/>
    <n v="0.46239999999999998"/>
    <n v="0.47639999999999999"/>
    <n v="168"/>
    <n v="2888"/>
    <n v="3015"/>
    <n v="4311"/>
    <n v="47895.088000000098"/>
    <n v="1970474.848"/>
    <n v="560607.96799999999"/>
    <n v="51472.08"/>
    <n v="264074.62399999902"/>
    <n v="93469976"/>
  </r>
  <r>
    <s v="Waihou-Piako"/>
    <x v="5"/>
    <x v="10"/>
    <n v="705601414"/>
    <n v="612052773"/>
    <n v="192265978"/>
    <n v="3318"/>
    <n v="1761"/>
    <n v="3449"/>
    <n v="3689"/>
    <n v="7233"/>
    <n v="2826"/>
    <n v="7022"/>
    <n v="7233"/>
    <n v="0.4587"/>
    <n v="0.62309999999999999"/>
    <n v="0.49120000000000003"/>
    <n v="0.51"/>
    <n v="211"/>
    <n v="2826"/>
    <n v="3149"/>
    <n v="4196"/>
    <n v="11200.351999999901"/>
    <n v="1914819.4240000001"/>
    <n v="518393.87199999997"/>
    <n v="49225.647999999899"/>
    <n v="244987.61600000001"/>
    <n v="93548641"/>
  </r>
  <r>
    <s v="Waihou-Piako"/>
    <x v="6"/>
    <x v="0"/>
    <n v="718336707"/>
    <n v="616071747"/>
    <n v="200078113"/>
    <n v="1020"/>
    <n v="381"/>
    <n v="934"/>
    <n v="983"/>
    <n v="9068"/>
    <n v="3558"/>
    <n v="9000"/>
    <n v="9068"/>
    <n v="0.1125"/>
    <n v="0.1071"/>
    <n v="0.1038"/>
    <n v="0.1084"/>
    <n v="68"/>
    <n v="3558"/>
    <n v="1314"/>
    <n v="5442"/>
    <n v="573476.255999999"/>
    <n v="2966620.6879999898"/>
    <n v="1285647.4239999901"/>
    <n v="85011.712"/>
    <n v="523229.087999999"/>
    <n v="102264960"/>
  </r>
  <r>
    <s v="Waihou-Piako"/>
    <x v="6"/>
    <x v="1"/>
    <n v="718882591"/>
    <n v="615978889"/>
    <n v="232811527"/>
    <n v="1661"/>
    <n v="692"/>
    <n v="1597"/>
    <n v="1646"/>
    <n v="8761"/>
    <n v="3441"/>
    <n v="8682"/>
    <n v="8761"/>
    <n v="0.18959999999999999"/>
    <n v="0.2011"/>
    <n v="0.18390000000000001"/>
    <n v="0.18790000000000001"/>
    <n v="79"/>
    <n v="3441"/>
    <n v="1621"/>
    <n v="5241"/>
    <n v="573688.81599999999"/>
    <n v="2967115.7439999999"/>
    <n v="1284754.656"/>
    <n v="84952.816000000093"/>
    <n v="523171.26400000002"/>
    <n v="102903702"/>
  </r>
  <r>
    <s v="Waihou-Piako"/>
    <x v="6"/>
    <x v="2"/>
    <n v="714736370"/>
    <n v="615103503"/>
    <n v="230201450"/>
    <n v="2186"/>
    <n v="967"/>
    <n v="2277"/>
    <n v="2391"/>
    <n v="8545"/>
    <n v="3323"/>
    <n v="8455"/>
    <n v="8545"/>
    <n v="0.25580000000000003"/>
    <n v="0.29099999999999998"/>
    <n v="0.26929999999999998"/>
    <n v="0.27979999999999999"/>
    <n v="90"/>
    <n v="3323"/>
    <n v="1837"/>
    <n v="5132"/>
    <n v="468477.85600000003"/>
    <n v="2706491.7280000001"/>
    <n v="1054887.64799999"/>
    <n v="74887.328000000096"/>
    <n v="448762.16"/>
    <n v="99632867"/>
  </r>
  <r>
    <s v="Waihou-Piako"/>
    <x v="6"/>
    <x v="3"/>
    <n v="708412792"/>
    <n v="611582929"/>
    <n v="206540635"/>
    <n v="2726"/>
    <n v="1316"/>
    <n v="2734"/>
    <n v="3134"/>
    <n v="8391"/>
    <n v="3231"/>
    <n v="8275"/>
    <n v="8391"/>
    <n v="0.32490000000000002"/>
    <n v="0.4073"/>
    <n v="0.33040000000000003"/>
    <n v="0.3735"/>
    <n v="116"/>
    <n v="3231"/>
    <n v="1991"/>
    <n v="5044"/>
    <n v="388477.29599999997"/>
    <n v="2482995.1359999902"/>
    <n v="857198.54400000104"/>
    <n v="66486.495999999897"/>
    <n v="385925.103999999"/>
    <n v="96829863"/>
  </r>
  <r>
    <s v="Waihou-Piako"/>
    <x v="6"/>
    <x v="4"/>
    <n v="701759015"/>
    <n v="608008894"/>
    <n v="189660016"/>
    <n v="3225"/>
    <n v="1469"/>
    <n v="3333"/>
    <n v="3695"/>
    <n v="8274"/>
    <n v="3179"/>
    <n v="8151"/>
    <n v="8274"/>
    <n v="0.38979999999999998"/>
    <n v="0.46210000000000001"/>
    <n v="0.40889999999999999"/>
    <n v="0.4466"/>
    <n v="123"/>
    <n v="3179"/>
    <n v="2108"/>
    <n v="4972"/>
    <n v="326116.28799999901"/>
    <n v="2304891.3439999898"/>
    <n v="690401.2"/>
    <n v="59629.663999999997"/>
    <n v="330472.8"/>
    <n v="93750121"/>
  </r>
  <r>
    <s v="Waihou-Piako"/>
    <x v="6"/>
    <x v="5"/>
    <n v="699266199"/>
    <n v="607227122"/>
    <n v="188334737"/>
    <n v="3807"/>
    <n v="1769"/>
    <n v="3734"/>
    <n v="4232"/>
    <n v="8118"/>
    <n v="3112"/>
    <n v="7988"/>
    <n v="8118"/>
    <n v="0.46899999999999997"/>
    <n v="0.56840000000000002"/>
    <n v="0.46750000000000003"/>
    <n v="0.52129999999999999"/>
    <n v="130"/>
    <n v="3112"/>
    <n v="2264"/>
    <n v="4876"/>
    <n v="279341.90399999998"/>
    <n v="2126470.8640000001"/>
    <n v="568004.89599999995"/>
    <n v="53459.999999999804"/>
    <n v="289378.78399999999"/>
    <n v="92039077"/>
  </r>
  <r>
    <s v="Waihou-Piako"/>
    <x v="6"/>
    <x v="6"/>
    <n v="696307822"/>
    <n v="607187081"/>
    <n v="185530148"/>
    <n v="4078"/>
    <n v="2038"/>
    <n v="4412"/>
    <n v="4555"/>
    <n v="8025"/>
    <n v="3060"/>
    <n v="7875"/>
    <n v="8025"/>
    <n v="0.50819999999999999"/>
    <n v="0.66600000000000004"/>
    <n v="0.56030000000000002"/>
    <n v="0.56759999999999999"/>
    <n v="150"/>
    <n v="3060"/>
    <n v="2357"/>
    <n v="4815"/>
    <n v="224375.96799999999"/>
    <n v="1968386.01599999"/>
    <n v="477303.61599999899"/>
    <n v="47946.016000000003"/>
    <n v="247731.04"/>
    <n v="89120741"/>
  </r>
  <r>
    <s v="Waihou-Piako"/>
    <x v="6"/>
    <x v="7"/>
    <n v="692629887"/>
    <n v="606138374"/>
    <n v="170464897"/>
    <n v="4608"/>
    <n v="2210"/>
    <n v="4784"/>
    <n v="4871"/>
    <n v="7896"/>
    <n v="2982"/>
    <n v="7738"/>
    <n v="7896"/>
    <n v="0.58360000000000001"/>
    <n v="0.74109999999999998"/>
    <n v="0.61819999999999997"/>
    <n v="0.6169"/>
    <n v="158"/>
    <n v="2982"/>
    <n v="2486"/>
    <n v="4756"/>
    <n v="186175.53599999999"/>
    <n v="1874476.3839999901"/>
    <n v="407325.11999999901"/>
    <n v="44523.856000000102"/>
    <n v="223507.024"/>
    <n v="86491513"/>
  </r>
  <r>
    <s v="Waihou-Piako"/>
    <x v="6"/>
    <x v="8"/>
    <n v="687947590"/>
    <n v="603635222"/>
    <n v="155493201"/>
    <n v="4980"/>
    <n v="2226"/>
    <n v="5075"/>
    <n v="5073"/>
    <n v="7859"/>
    <n v="2933"/>
    <n v="7680"/>
    <n v="7859"/>
    <n v="0.63370000000000004"/>
    <n v="0.75890000000000002"/>
    <n v="0.66080000000000005"/>
    <n v="0.64549999999999996"/>
    <n v="179"/>
    <n v="2933"/>
    <n v="2523"/>
    <n v="4747"/>
    <n v="136920.60800000001"/>
    <n v="1763093.8399999901"/>
    <n v="352607.424"/>
    <n v="40933.791999999899"/>
    <n v="197538.46400000001"/>
    <n v="84312368"/>
  </r>
  <r>
    <s v="Waihou-Piako"/>
    <x v="6"/>
    <x v="9"/>
    <n v="682891420"/>
    <n v="600228094"/>
    <n v="158535616"/>
    <n v="5196"/>
    <n v="2328"/>
    <n v="5287"/>
    <n v="5188"/>
    <n v="7701"/>
    <n v="2873"/>
    <n v="7511"/>
    <n v="7701"/>
    <n v="0.67469999999999997"/>
    <n v="0.81030000000000002"/>
    <n v="0.70389999999999997"/>
    <n v="0.67369999999999997"/>
    <n v="190"/>
    <n v="2873"/>
    <n v="2681"/>
    <n v="4638"/>
    <n v="114982.399999999"/>
    <n v="1704764.0160000001"/>
    <n v="335782.8"/>
    <n v="39100.559999999998"/>
    <n v="183787.90400000001"/>
    <n v="82663326"/>
  </r>
  <r>
    <s v="Waihou-Piako"/>
    <x v="6"/>
    <x v="10"/>
    <n v="683209420"/>
    <n v="599846522"/>
    <n v="186088086"/>
    <n v="5318"/>
    <n v="2468"/>
    <n v="5454"/>
    <n v="5310"/>
    <n v="7501"/>
    <n v="2746"/>
    <n v="7302"/>
    <n v="7501"/>
    <n v="0.70899999999999996"/>
    <n v="0.89880000000000004"/>
    <n v="0.74690000000000001"/>
    <n v="0.70789999999999997"/>
    <n v="199"/>
    <n v="2746"/>
    <n v="2881"/>
    <n v="4556"/>
    <n v="62510.495999999999"/>
    <n v="1627959.6159999899"/>
    <n v="318220.33599999902"/>
    <n v="37216.144"/>
    <n v="169358.91200000001"/>
    <n v="83362898"/>
  </r>
  <r>
    <s v="Waihou-Piako"/>
    <x v="7"/>
    <x v="0"/>
    <n v="718336707"/>
    <n v="616071747"/>
    <n v="200078113"/>
    <n v="1020"/>
    <n v="381"/>
    <n v="934"/>
    <n v="983"/>
    <n v="9068"/>
    <n v="3558"/>
    <n v="9000"/>
    <n v="9068"/>
    <n v="0.1125"/>
    <n v="0.1071"/>
    <n v="0.1038"/>
    <n v="0.1084"/>
    <n v="68"/>
    <n v="3558"/>
    <n v="1314"/>
    <n v="5442"/>
    <n v="573476.255999999"/>
    <n v="2966620.6879999898"/>
    <n v="1285647.4239999901"/>
    <n v="85011.712"/>
    <n v="523229.087999999"/>
    <n v="102264960"/>
  </r>
  <r>
    <s v="Waihou-Piako"/>
    <x v="7"/>
    <x v="1"/>
    <n v="718882591"/>
    <n v="615978889"/>
    <n v="241774176"/>
    <n v="1415"/>
    <n v="595"/>
    <n v="1351"/>
    <n v="1411"/>
    <n v="8761"/>
    <n v="3441"/>
    <n v="8682"/>
    <n v="8761"/>
    <n v="0.1615"/>
    <n v="0.1729"/>
    <n v="0.15559999999999999"/>
    <n v="0.16109999999999999"/>
    <n v="79"/>
    <n v="3441"/>
    <n v="1621"/>
    <n v="5241"/>
    <n v="573688.81600000104"/>
    <n v="2967115.7439999999"/>
    <n v="1284754.656"/>
    <n v="84952.815999999904"/>
    <n v="523171.26400000002"/>
    <n v="102903702"/>
  </r>
  <r>
    <s v="Waihou-Piako"/>
    <x v="7"/>
    <x v="2"/>
    <n v="752263686"/>
    <n v="615312997"/>
    <n v="254621562"/>
    <n v="1778"/>
    <n v="781"/>
    <n v="1761"/>
    <n v="1822"/>
    <n v="8529"/>
    <n v="3350"/>
    <n v="8451"/>
    <n v="8529"/>
    <n v="0.20849999999999999"/>
    <n v="0.2331"/>
    <n v="0.2084"/>
    <n v="0.21360000000000001"/>
    <n v="78"/>
    <n v="3350"/>
    <n v="1853"/>
    <n v="5101"/>
    <n v="473558.97600000002"/>
    <n v="2770889.6159999999"/>
    <n v="1128166.784"/>
    <n v="77986.047999999995"/>
    <n v="470136.255999999"/>
    <n v="136950689"/>
  </r>
  <r>
    <s v="Waihou-Piako"/>
    <x v="7"/>
    <x v="3"/>
    <n v="749115047"/>
    <n v="613916631"/>
    <n v="284357792"/>
    <n v="2076"/>
    <n v="942"/>
    <n v="2009"/>
    <n v="2276"/>
    <n v="8320"/>
    <n v="3263"/>
    <n v="8248"/>
    <n v="8320"/>
    <n v="0.2495"/>
    <n v="0.28870000000000001"/>
    <n v="0.24360000000000001"/>
    <n v="0.27360000000000001"/>
    <n v="72"/>
    <n v="3263"/>
    <n v="2062"/>
    <n v="4985"/>
    <n v="394691.408"/>
    <n v="2613178.4640000002"/>
    <n v="980795.87199999904"/>
    <n v="72069.279999999897"/>
    <n v="423698.815999999"/>
    <n v="135198416"/>
  </r>
  <r>
    <s v="Waihou-Piako"/>
    <x v="7"/>
    <x v="4"/>
    <n v="745109066"/>
    <n v="611684889"/>
    <n v="276200194"/>
    <n v="2313"/>
    <n v="1146"/>
    <n v="2320"/>
    <n v="2485"/>
    <n v="8194"/>
    <n v="3205"/>
    <n v="8110"/>
    <n v="8194"/>
    <n v="0.2823"/>
    <n v="0.35759999999999997"/>
    <n v="0.28610000000000002"/>
    <n v="0.30330000000000001"/>
    <n v="84"/>
    <n v="3205"/>
    <n v="2188"/>
    <n v="4905"/>
    <n v="324008.83199999901"/>
    <n v="2456951.8560000001"/>
    <n v="880864.20799999998"/>
    <n v="66840.336000000098"/>
    <n v="384825.80800000002"/>
    <n v="133424177"/>
  </r>
  <r>
    <s v="Waihou-Piako"/>
    <x v="7"/>
    <x v="5"/>
    <n v="742585913"/>
    <n v="609636751"/>
    <n v="265283697"/>
    <n v="2657"/>
    <n v="1291"/>
    <n v="2640"/>
    <n v="2806"/>
    <n v="8072"/>
    <n v="3118"/>
    <n v="7975"/>
    <n v="8072"/>
    <n v="0.32919999999999999"/>
    <n v="0.41399999999999998"/>
    <n v="0.33100000000000002"/>
    <n v="0.34760000000000002"/>
    <n v="97"/>
    <n v="3118"/>
    <n v="2310"/>
    <n v="4857"/>
    <n v="277180.52799999999"/>
    <n v="2368137.8719999902"/>
    <n v="800114.35199999902"/>
    <n v="63539.504000000103"/>
    <n v="357164.79999999999"/>
    <n v="132949162"/>
  </r>
  <r>
    <s v="Waihou-Piako"/>
    <x v="7"/>
    <x v="6"/>
    <n v="736940609"/>
    <n v="608243980"/>
    <n v="242535178"/>
    <n v="2979"/>
    <n v="1458"/>
    <n v="2991"/>
    <n v="3306"/>
    <n v="7966"/>
    <n v="3087"/>
    <n v="7842"/>
    <n v="7966"/>
    <n v="0.374"/>
    <n v="0.4723"/>
    <n v="0.38140000000000002"/>
    <n v="0.41499999999999998"/>
    <n v="124"/>
    <n v="3087"/>
    <n v="2416"/>
    <n v="4755"/>
    <n v="232646.22399999999"/>
    <n v="2242380.4639999899"/>
    <n v="715963.34399999899"/>
    <n v="59423.807999999903"/>
    <n v="326545.45600000001"/>
    <n v="128696629"/>
  </r>
  <r>
    <s v="Waihou-Piako"/>
    <x v="7"/>
    <x v="7"/>
    <n v="737643006"/>
    <n v="608935391"/>
    <n v="240083772"/>
    <n v="3268"/>
    <n v="1549"/>
    <n v="3227"/>
    <n v="3463"/>
    <n v="7869"/>
    <n v="3029"/>
    <n v="7731"/>
    <n v="7869"/>
    <n v="0.4153"/>
    <n v="0.51139999999999997"/>
    <n v="0.41739999999999999"/>
    <n v="0.44009999999999999"/>
    <n v="138"/>
    <n v="3029"/>
    <n v="2513"/>
    <n v="4702"/>
    <n v="193040.76800000001"/>
    <n v="2137166.048"/>
    <n v="598799.647999999"/>
    <n v="55316.495999999999"/>
    <n v="289386.495999999"/>
    <n v="128707615"/>
  </r>
  <r>
    <s v="Waihou-Piako"/>
    <x v="7"/>
    <x v="8"/>
    <n v="734254809"/>
    <n v="606652283"/>
    <n v="242551622"/>
    <n v="3375"/>
    <n v="1623"/>
    <n v="3532"/>
    <n v="3700"/>
    <n v="7782"/>
    <n v="3037"/>
    <n v="7631"/>
    <n v="7782"/>
    <n v="0.43369999999999997"/>
    <n v="0.53439999999999999"/>
    <n v="0.46279999999999999"/>
    <n v="0.47549999999999998"/>
    <n v="151"/>
    <n v="3037"/>
    <n v="2600"/>
    <n v="4594"/>
    <n v="157387.88799999899"/>
    <n v="2065112.8959999999"/>
    <n v="559476.81599999999"/>
    <n v="52835.584000000003"/>
    <n v="270743.31199999899"/>
    <n v="127602526"/>
  </r>
  <r>
    <s v="Waihou-Piako"/>
    <x v="7"/>
    <x v="9"/>
    <n v="738022367"/>
    <n v="610401457"/>
    <n v="234153105"/>
    <n v="3559"/>
    <n v="1719"/>
    <n v="3853"/>
    <n v="3898"/>
    <n v="7620"/>
    <n v="2965"/>
    <n v="7439"/>
    <n v="7620"/>
    <n v="0.46710000000000002"/>
    <n v="0.57979999999999998"/>
    <n v="0.51790000000000003"/>
    <n v="0.51149999999999995"/>
    <n v="181"/>
    <n v="2965"/>
    <n v="2762"/>
    <n v="4474"/>
    <n v="130653.84"/>
    <n v="2011169.2320000001"/>
    <n v="514994.56"/>
    <n v="50747.951999999997"/>
    <n v="255476.06400000001"/>
    <n v="127620910"/>
  </r>
  <r>
    <s v="Waihou-Piako"/>
    <x v="7"/>
    <x v="10"/>
    <n v="737134197"/>
    <n v="610550765"/>
    <n v="243351267"/>
    <n v="3784"/>
    <n v="1743"/>
    <n v="3959"/>
    <n v="4106"/>
    <n v="7470"/>
    <n v="2931"/>
    <n v="7287"/>
    <n v="7470"/>
    <n v="0.50660000000000005"/>
    <n v="0.59470000000000001"/>
    <n v="0.54330000000000001"/>
    <n v="0.54969999999999997"/>
    <n v="183"/>
    <n v="2931"/>
    <n v="2912"/>
    <n v="4356"/>
    <n v="78570.352000000101"/>
    <n v="1914167.3759999999"/>
    <n v="471718.81599999999"/>
    <n v="47877.103999999897"/>
    <n v="235632.223999999"/>
    <n v="126583432"/>
  </r>
  <r>
    <s v="Waihou-Piako"/>
    <x v="8"/>
    <x v="0"/>
    <n v="721712882"/>
    <n v="615856354"/>
    <n v="209129600"/>
    <n v="286"/>
    <n v="99"/>
    <n v="240"/>
    <n v="294"/>
    <n v="9068"/>
    <n v="3558"/>
    <n v="9000"/>
    <n v="9068"/>
    <n v="3.15E-2"/>
    <n v="2.7799999999999998E-2"/>
    <n v="2.6700000000000002E-2"/>
    <n v="3.2399999999999998E-2"/>
    <n v="68"/>
    <n v="3558"/>
    <n v="1314"/>
    <n v="5442"/>
    <n v="584801.42399999895"/>
    <n v="3116631.7919999901"/>
    <n v="1514418.6399999899"/>
    <n v="93020.976000000097"/>
    <n v="585738.576"/>
    <n v="105856528"/>
  </r>
  <r>
    <s v="Waihou-Piako"/>
    <x v="8"/>
    <x v="1"/>
    <n v="722260828"/>
    <n v="615763500"/>
    <n v="255086343"/>
    <n v="669"/>
    <n v="239"/>
    <n v="677"/>
    <n v="601"/>
    <n v="8799"/>
    <n v="3477"/>
    <n v="8722"/>
    <n v="8799"/>
    <n v="7.5999999999999998E-2"/>
    <n v="6.8699999999999997E-2"/>
    <n v="7.7600000000000002E-2"/>
    <n v="6.83E-2"/>
    <n v="77"/>
    <n v="3477"/>
    <n v="1583"/>
    <n v="5245"/>
    <n v="585014"/>
    <n v="3116086.19199999"/>
    <n v="1513777.1999999899"/>
    <n v="92949.216000000102"/>
    <n v="585671.82399999897"/>
    <n v="106497328"/>
  </r>
  <r>
    <s v="Waihou-Piako"/>
    <x v="8"/>
    <x v="2"/>
    <n v="722567036"/>
    <n v="617148366"/>
    <n v="255641034"/>
    <n v="1036"/>
    <n v="374"/>
    <n v="1088"/>
    <n v="1012"/>
    <n v="8535"/>
    <n v="3338"/>
    <n v="8451"/>
    <n v="8535"/>
    <n v="0.12139999999999999"/>
    <n v="0.112"/>
    <n v="0.12870000000000001"/>
    <n v="0.1186"/>
    <n v="84"/>
    <n v="3338"/>
    <n v="1847"/>
    <n v="5113"/>
    <n v="499772.01599999901"/>
    <n v="2965867.9679999999"/>
    <n v="1354380.2879999999"/>
    <n v="86894.944000000003"/>
    <n v="537104.71999999904"/>
    <n v="105418670"/>
  </r>
  <r>
    <s v="Waihou-Piako"/>
    <x v="8"/>
    <x v="3"/>
    <n v="717434132"/>
    <n v="613192730"/>
    <n v="233241004"/>
    <n v="1417"/>
    <n v="589"/>
    <n v="1584"/>
    <n v="1366"/>
    <n v="8367"/>
    <n v="3277"/>
    <n v="8272"/>
    <n v="8367"/>
    <n v="0.1694"/>
    <n v="0.1797"/>
    <n v="0.1915"/>
    <n v="0.1633"/>
    <n v="95"/>
    <n v="3277"/>
    <n v="2015"/>
    <n v="4995"/>
    <n v="409320.97600000002"/>
    <n v="2781580.79999999"/>
    <n v="1210623.936"/>
    <n v="80123.888000000094"/>
    <n v="486758.12799999898"/>
    <n v="104241402"/>
  </r>
  <r>
    <s v="Waihou-Piako"/>
    <x v="8"/>
    <x v="4"/>
    <n v="714434974"/>
    <n v="613313496"/>
    <n v="224219496"/>
    <n v="1760"/>
    <n v="745"/>
    <n v="2085"/>
    <n v="1700"/>
    <n v="8237"/>
    <n v="3119"/>
    <n v="8109"/>
    <n v="8237"/>
    <n v="0.2137"/>
    <n v="0.2389"/>
    <n v="0.2571"/>
    <n v="0.2064"/>
    <n v="128"/>
    <n v="3119"/>
    <n v="2145"/>
    <n v="4990"/>
    <n v="347371.760000001"/>
    <n v="2648787.71199999"/>
    <n v="1072495.2319999901"/>
    <n v="74545.679999999906"/>
    <n v="443016.03200000001"/>
    <n v="101121478"/>
  </r>
  <r>
    <s v="Waihou-Piako"/>
    <x v="8"/>
    <x v="5"/>
    <n v="702664030"/>
    <n v="603216954"/>
    <n v="198676726"/>
    <n v="2136"/>
    <n v="859"/>
    <n v="2341"/>
    <n v="2007"/>
    <n v="8061"/>
    <n v="3089"/>
    <n v="7911"/>
    <n v="8061"/>
    <n v="0.26500000000000001"/>
    <n v="0.27810000000000001"/>
    <n v="0.2959"/>
    <n v="0.249"/>
    <n v="150"/>
    <n v="3089"/>
    <n v="2321"/>
    <n v="4822"/>
    <n v="286217.07199999999"/>
    <n v="2490769.75999999"/>
    <n v="955146.87999999803"/>
    <n v="69021.247999999803"/>
    <n v="403804.62400000001"/>
    <n v="99447076"/>
  </r>
  <r>
    <s v="Waihou-Piako"/>
    <x v="8"/>
    <x v="6"/>
    <n v="701954144"/>
    <n v="605286230"/>
    <n v="187244682"/>
    <n v="2371"/>
    <n v="1051"/>
    <n v="2751"/>
    <n v="2409"/>
    <n v="7926"/>
    <n v="3020"/>
    <n v="7761"/>
    <n v="7926"/>
    <n v="0.29909999999999998"/>
    <n v="0.34799999999999998"/>
    <n v="0.35449999999999998"/>
    <n v="0.3039"/>
    <n v="165"/>
    <n v="3020"/>
    <n v="2456"/>
    <n v="4741"/>
    <n v="230577.56799999901"/>
    <n v="2380067.0079999999"/>
    <n v="852838.28799999994"/>
    <n v="64693.104000000101"/>
    <n v="368427.90399999998"/>
    <n v="96667914"/>
  </r>
  <r>
    <s v="Waihou-Piako"/>
    <x v="8"/>
    <x v="7"/>
    <n v="699475610"/>
    <n v="603348047"/>
    <n v="174115398"/>
    <n v="2724"/>
    <n v="1231"/>
    <n v="3039"/>
    <n v="2650"/>
    <n v="7796"/>
    <n v="2941"/>
    <n v="7605"/>
    <n v="7796"/>
    <n v="0.34939999999999999"/>
    <n v="0.41860000000000003"/>
    <n v="0.39960000000000001"/>
    <n v="0.33989999999999998"/>
    <n v="191"/>
    <n v="2941"/>
    <n v="2586"/>
    <n v="4664"/>
    <n v="181070.97599999901"/>
    <n v="2265729.3119999999"/>
    <n v="740343.15200000105"/>
    <n v="60743.455999999998"/>
    <n v="336316.272"/>
    <n v="96127563"/>
  </r>
  <r>
    <s v="Waihou-Piako"/>
    <x v="8"/>
    <x v="8"/>
    <n v="694806169"/>
    <n v="600569920"/>
    <n v="174512376"/>
    <n v="2979"/>
    <n v="1317"/>
    <n v="3360"/>
    <n v="2892"/>
    <n v="7650"/>
    <n v="2917"/>
    <n v="7466"/>
    <n v="7650"/>
    <n v="0.38940000000000002"/>
    <n v="0.45150000000000001"/>
    <n v="0.45"/>
    <n v="0.378"/>
    <n v="184"/>
    <n v="2917"/>
    <n v="2732"/>
    <n v="4549"/>
    <n v="131950.38399999999"/>
    <n v="2168768.128"/>
    <n v="674052.46399999806"/>
    <n v="56886.879999999801"/>
    <n v="305783.76"/>
    <n v="94236249"/>
  </r>
  <r>
    <s v="Waihou-Piako"/>
    <x v="8"/>
    <x v="9"/>
    <n v="695788503"/>
    <n v="601672263"/>
    <n v="156941896"/>
    <n v="3135"/>
    <n v="1522"/>
    <n v="3478"/>
    <n v="3137"/>
    <n v="7557"/>
    <n v="2860"/>
    <n v="7350"/>
    <n v="7557"/>
    <n v="0.4148"/>
    <n v="0.53220000000000001"/>
    <n v="0.47320000000000001"/>
    <n v="0.41510000000000002"/>
    <n v="207"/>
    <n v="2860"/>
    <n v="2825"/>
    <n v="4490"/>
    <n v="86075.1519999999"/>
    <n v="2088620.608"/>
    <n v="584607.99999999895"/>
    <n v="53844.24"/>
    <n v="281453.85599999898"/>
    <n v="94116240"/>
  </r>
  <r>
    <s v="Waihou-Piako"/>
    <x v="8"/>
    <x v="10"/>
    <n v="693439195"/>
    <n v="599254106"/>
    <n v="172781324"/>
    <n v="3348"/>
    <n v="1582"/>
    <n v="3731"/>
    <n v="3332"/>
    <n v="7479"/>
    <n v="2850"/>
    <n v="7261"/>
    <n v="7479"/>
    <n v="0.44769999999999999"/>
    <n v="0.55510000000000004"/>
    <n v="0.51380000000000003"/>
    <n v="0.44550000000000001"/>
    <n v="218"/>
    <n v="2850"/>
    <n v="2903"/>
    <n v="4411"/>
    <n v="47792.688000000002"/>
    <n v="2004319.9040000001"/>
    <n v="564445.05599999905"/>
    <n v="51482.127999999997"/>
    <n v="262323.63199999998"/>
    <n v="94185089"/>
  </r>
  <r>
    <s v="Waihou-Piako"/>
    <x v="9"/>
    <x v="0"/>
    <n v="718336707"/>
    <n v="616071747"/>
    <n v="200078113"/>
    <n v="1020"/>
    <n v="381"/>
    <n v="934"/>
    <n v="983"/>
    <n v="9068"/>
    <n v="3558"/>
    <n v="9000"/>
    <n v="9068"/>
    <n v="0.1125"/>
    <n v="0.1071"/>
    <n v="0.1038"/>
    <n v="0.1084"/>
    <n v="68"/>
    <n v="3558"/>
    <n v="1314"/>
    <n v="5442"/>
    <n v="573476.255999999"/>
    <n v="2966620.6879999898"/>
    <n v="1285647.4239999901"/>
    <n v="85011.712"/>
    <n v="523229.087999999"/>
    <m/>
  </r>
  <r>
    <s v="Waihou-Piako"/>
    <x v="9"/>
    <x v="1"/>
    <n v="718882591"/>
    <n v="615978889"/>
    <n v="237531533"/>
    <n v="1348"/>
    <n v="581"/>
    <n v="1291"/>
    <n v="1360"/>
    <n v="8744"/>
    <n v="3446"/>
    <n v="8684"/>
    <n v="8744"/>
    <n v="0.1542"/>
    <n v="0.1686"/>
    <n v="0.1487"/>
    <n v="0.1555"/>
    <n v="60"/>
    <n v="3446"/>
    <n v="1638"/>
    <n v="5238"/>
    <n v="573688.81599999999"/>
    <n v="2967115.7439999902"/>
    <n v="1284754.6559999899"/>
    <n v="84952.816000000006"/>
    <n v="523171.26400000002"/>
    <m/>
  </r>
  <r>
    <s v="Waihou-Piako"/>
    <x v="9"/>
    <x v="2"/>
    <n v="717231347"/>
    <n v="615601656"/>
    <n v="257178730"/>
    <n v="1636"/>
    <n v="732"/>
    <n v="1615"/>
    <n v="1575"/>
    <n v="8469"/>
    <n v="3352"/>
    <n v="8412"/>
    <n v="8469"/>
    <n v="0.19320000000000001"/>
    <n v="0.21840000000000001"/>
    <n v="0.192"/>
    <n v="0.186"/>
    <n v="57"/>
    <n v="3352"/>
    <n v="1913"/>
    <n v="5060"/>
    <n v="469751.29599999799"/>
    <n v="2793072.5759999999"/>
    <n v="1140481.1999999899"/>
    <n v="78856.703999999998"/>
    <n v="472491.98399999901"/>
    <m/>
  </r>
  <r>
    <s v="Waihou-Piako"/>
    <x v="9"/>
    <x v="3"/>
    <n v="716738877"/>
    <n v="616119347"/>
    <n v="265131638"/>
    <n v="1907"/>
    <n v="902"/>
    <n v="1914"/>
    <n v="1924"/>
    <n v="8205"/>
    <n v="3208"/>
    <n v="8125"/>
    <n v="8205"/>
    <n v="0.2324"/>
    <n v="0.28120000000000001"/>
    <n v="0.2356"/>
    <n v="0.23449999999999999"/>
    <n v="80"/>
    <n v="3208"/>
    <n v="2177"/>
    <n v="4917"/>
    <n v="382663.63199999899"/>
    <n v="2643601.7439999902"/>
    <n v="1044584.83199999"/>
    <n v="73890.303999999902"/>
    <n v="434413.29599999997"/>
    <m/>
  </r>
  <r>
    <s v="Waihou-Piako"/>
    <x v="9"/>
    <x v="4"/>
    <n v="710833060"/>
    <n v="612509709"/>
    <n v="238337018"/>
    <n v="2230"/>
    <n v="994"/>
    <n v="2251"/>
    <n v="2243"/>
    <n v="7980"/>
    <n v="3138"/>
    <n v="7887"/>
    <n v="7980"/>
    <n v="0.27939999999999998"/>
    <n v="0.31680000000000003"/>
    <n v="0.28539999999999999"/>
    <n v="0.28110000000000002"/>
    <n v="93"/>
    <n v="3138"/>
    <n v="2402"/>
    <n v="4749"/>
    <n v="290566.255999999"/>
    <n v="2462325.44"/>
    <n v="935243.47199999797"/>
    <n v="68272.528000000093"/>
    <n v="392521.59999999899"/>
    <m/>
  </r>
  <r>
    <s v="Waihou-Piako"/>
    <x v="9"/>
    <x v="5"/>
    <n v="712591904"/>
    <n v="613729242"/>
    <n v="222427541"/>
    <n v="2573"/>
    <n v="1100"/>
    <n v="2601"/>
    <n v="2471"/>
    <n v="7810"/>
    <n v="3074"/>
    <n v="7673"/>
    <n v="7810"/>
    <n v="0.32940000000000003"/>
    <n v="0.35780000000000001"/>
    <n v="0.33900000000000002"/>
    <n v="0.31640000000000001"/>
    <n v="137"/>
    <n v="3074"/>
    <n v="2572"/>
    <n v="4599"/>
    <n v="219047.679999999"/>
    <n v="2333030.8960000002"/>
    <n v="830288.08000000101"/>
    <n v="63475.631999999998"/>
    <n v="355860.44799999997"/>
    <m/>
  </r>
  <r>
    <s v="Waihou-Piako"/>
    <x v="9"/>
    <x v="6"/>
    <n v="712221140"/>
    <n v="614627847"/>
    <n v="207083207"/>
    <n v="2760"/>
    <n v="1202"/>
    <n v="2828"/>
    <n v="3051"/>
    <n v="7555"/>
    <n v="3009"/>
    <n v="7412"/>
    <n v="7555"/>
    <n v="0.36530000000000001"/>
    <n v="0.39950000000000002"/>
    <n v="0.38150000000000001"/>
    <n v="0.40379999999999999"/>
    <n v="143"/>
    <n v="3009"/>
    <n v="2827"/>
    <n v="4403"/>
    <n v="165272.41599999901"/>
    <n v="2219756.9599999902"/>
    <n v="728936.68799999799"/>
    <n v="59282.784"/>
    <n v="324656.04800000001"/>
    <m/>
  </r>
  <r>
    <s v="Waihou-Piako"/>
    <x v="9"/>
    <x v="7"/>
    <n v="712974964"/>
    <n v="618154794"/>
    <n v="210238554"/>
    <n v="2939"/>
    <n v="1260"/>
    <n v="3140"/>
    <n v="3281"/>
    <n v="7381"/>
    <n v="2873"/>
    <n v="7221"/>
    <n v="7381"/>
    <n v="0.3982"/>
    <n v="0.43859999999999999"/>
    <n v="0.43480000000000002"/>
    <n v="0.44450000000000001"/>
    <n v="160"/>
    <n v="2873"/>
    <n v="3001"/>
    <n v="4348"/>
    <n v="83907.296000000002"/>
    <n v="2074375.824"/>
    <n v="603525.29599999997"/>
    <n v="54599.712"/>
    <n v="285117.375999999"/>
    <m/>
  </r>
  <r>
    <s v="Waihou-Piako"/>
    <x v="9"/>
    <x v="8"/>
    <n v="706565015"/>
    <n v="611689965"/>
    <n v="216546929"/>
    <n v="3113"/>
    <n v="1313"/>
    <n v="3354"/>
    <n v="3438"/>
    <n v="7223"/>
    <n v="2792"/>
    <n v="7049"/>
    <n v="7223"/>
    <n v="0.43099999999999999"/>
    <n v="0.4703"/>
    <n v="0.4758"/>
    <n v="0.47599999999999998"/>
    <n v="174"/>
    <n v="2792"/>
    <n v="3159"/>
    <n v="4257"/>
    <n v="18913.679999999898"/>
    <n v="1950702.30399999"/>
    <n v="557493.88799999899"/>
    <n v="51295.983999999902"/>
    <n v="262757.58399999997"/>
    <m/>
  </r>
  <r>
    <s v="Waihou-Piako"/>
    <x v="9"/>
    <x v="9"/>
    <n v="702732551"/>
    <n v="609616196"/>
    <n v="204869393"/>
    <n v="3289"/>
    <n v="1444"/>
    <n v="3556"/>
    <n v="3594"/>
    <n v="7127"/>
    <n v="2719"/>
    <n v="6919"/>
    <n v="7127"/>
    <n v="0.46150000000000002"/>
    <n v="0.53110000000000002"/>
    <n v="0.51390000000000002"/>
    <n v="0.50429999999999997"/>
    <n v="208"/>
    <n v="2719"/>
    <n v="3255"/>
    <n v="4200"/>
    <n v="-34294.656000000003"/>
    <n v="1870713.1839999999"/>
    <n v="519140.511999999"/>
    <n v="49011.44"/>
    <n v="244311.823999999"/>
    <m/>
  </r>
  <r>
    <s v="Waihou-Piako"/>
    <x v="9"/>
    <x v="10"/>
    <n v="700052894"/>
    <n v="606687147"/>
    <n v="217667803"/>
    <n v="3363"/>
    <n v="1438"/>
    <n v="3663"/>
    <n v="3702"/>
    <n v="6976"/>
    <n v="2644"/>
    <n v="6770"/>
    <n v="6976"/>
    <n v="0.48209999999999997"/>
    <n v="0.54390000000000005"/>
    <n v="0.54110000000000003"/>
    <n v="0.53069999999999995"/>
    <n v="206"/>
    <n v="2644"/>
    <n v="3406"/>
    <n v="4126"/>
    <n v="-72697.615999999907"/>
    <n v="1799813.7439999999"/>
    <n v="487232.97600000002"/>
    <n v="46812.016000000098"/>
    <n v="227417.64799999999"/>
    <m/>
  </r>
  <r>
    <s v="Waihou-Piako"/>
    <x v="10"/>
    <x v="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2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3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4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5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6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7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8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9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2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3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4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5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6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7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8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9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2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3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4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5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6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7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8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9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0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2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3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4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5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6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7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8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9"/>
    <m/>
    <m/>
    <m/>
    <m/>
    <m/>
    <m/>
    <m/>
    <m/>
    <m/>
    <m/>
    <m/>
    <m/>
    <m/>
    <m/>
    <m/>
    <m/>
    <m/>
    <m/>
    <m/>
    <m/>
    <m/>
    <m/>
    <m/>
    <m/>
    <m/>
  </r>
  <r>
    <s v="Waihou-Piako"/>
    <x v="10"/>
    <x v="10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  <r>
    <m/>
    <x v="11"/>
    <x v="11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83661-EA10-4B44-A254-BDA998EB6488}" name="PivotTable1" cacheId="2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3:L15" firstHeaderRow="1" firstDataRow="2" firstDataCol="1"/>
  <pivotFields count="28">
    <pivotField showAll="0"/>
    <pivotField axis="axisCol" showAll="0">
      <items count="13">
        <item h="1" x="11"/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1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env_metrics_ghg_emissions" fld="22" baseField="0" baseItem="0"/>
  </dataFields>
  <formats count="1">
    <format dxfId="0">
      <pivotArea outline="0" collapsedLevelsAreSubtotals="1" fieldPosition="0"/>
    </format>
  </formats>
  <chartFormats count="10">
    <chartFormat chart="0" format="2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5A13-E29A-4E59-AC49-DBCD3DD6186D}">
  <dimension ref="A1:O22"/>
  <sheetViews>
    <sheetView workbookViewId="0">
      <selection activeCell="A2" sqref="A2:XFD2"/>
    </sheetView>
  </sheetViews>
  <sheetFormatPr defaultRowHeight="15" x14ac:dyDescent="0.25"/>
  <cols>
    <col min="1" max="1" width="30" customWidth="1"/>
    <col min="2" max="11" width="20.7109375" customWidth="1"/>
    <col min="12" max="18" width="11" customWidth="1"/>
  </cols>
  <sheetData>
    <row r="1" spans="1:15" x14ac:dyDescent="0.25">
      <c r="A1" t="s">
        <v>78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</row>
    <row r="2" spans="1:15" x14ac:dyDescent="0.25">
      <c r="A2" t="s">
        <v>79</v>
      </c>
      <c r="B2" t="str">
        <f>B6</f>
        <v>default</v>
      </c>
      <c r="C2" t="str">
        <f t="shared" ref="C2:K2" si="0">C6</f>
        <v>no-landuse-change</v>
      </c>
      <c r="D2" t="str">
        <f t="shared" si="0"/>
        <v>low-uptake</v>
      </c>
      <c r="E2" t="str">
        <f t="shared" si="0"/>
        <v>low-tech-change</v>
      </c>
      <c r="F2" t="str">
        <f t="shared" si="0"/>
        <v>farm-plan-only</v>
      </c>
      <c r="G2" t="str">
        <f t="shared" si="0"/>
        <v>all-profit-farmers</v>
      </c>
      <c r="H2" t="str">
        <f t="shared" si="0"/>
        <v>all-enviro-farmers</v>
      </c>
      <c r="I2" t="str">
        <f t="shared" si="0"/>
        <v>high-tech-change</v>
      </c>
      <c r="J2" t="str">
        <f t="shared" si="0"/>
        <v>low-init-intervention</v>
      </c>
      <c r="K2" t="str">
        <f t="shared" si="0"/>
        <v>high-debt</v>
      </c>
      <c r="L2" t="s">
        <v>80</v>
      </c>
      <c r="M2" t="s">
        <v>80</v>
      </c>
      <c r="N2" t="s">
        <v>80</v>
      </c>
      <c r="O2" t="s">
        <v>80</v>
      </c>
    </row>
    <row r="3" spans="1:15" x14ac:dyDescent="0.25">
      <c r="A3" t="s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5" x14ac:dyDescent="0.25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5" x14ac:dyDescent="0.25">
      <c r="A5" t="s">
        <v>2</v>
      </c>
      <c r="B5" t="s">
        <v>56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</row>
    <row r="6" spans="1:15" x14ac:dyDescent="0.25">
      <c r="A6" t="s">
        <v>3</v>
      </c>
      <c r="B6" s="6" t="s">
        <v>7</v>
      </c>
      <c r="C6" s="13" t="s">
        <v>58</v>
      </c>
      <c r="D6" s="13" t="s">
        <v>68</v>
      </c>
      <c r="E6" s="13" t="s">
        <v>69</v>
      </c>
      <c r="F6" s="13" t="s">
        <v>70</v>
      </c>
      <c r="G6" s="13" t="s">
        <v>71</v>
      </c>
      <c r="H6" s="13" t="s">
        <v>72</v>
      </c>
      <c r="I6" s="13" t="s">
        <v>74</v>
      </c>
      <c r="J6" s="13" t="s">
        <v>76</v>
      </c>
      <c r="K6" s="13" t="s">
        <v>77</v>
      </c>
    </row>
    <row r="7" spans="1:15" x14ac:dyDescent="0.25">
      <c r="A7" t="s">
        <v>4</v>
      </c>
      <c r="B7" t="s">
        <v>57</v>
      </c>
      <c r="C7" t="s">
        <v>57</v>
      </c>
      <c r="D7" t="s">
        <v>57</v>
      </c>
      <c r="E7" t="s">
        <v>57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  <c r="K7" t="s">
        <v>57</v>
      </c>
    </row>
    <row r="8" spans="1:15" x14ac:dyDescent="0.25">
      <c r="A8" t="s">
        <v>5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 spans="1:15" x14ac:dyDescent="0.25">
      <c r="A9" t="s">
        <v>6</v>
      </c>
      <c r="B9" t="s">
        <v>7</v>
      </c>
      <c r="C9" t="s">
        <v>58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74</v>
      </c>
      <c r="J9" t="s">
        <v>76</v>
      </c>
      <c r="K9" t="s">
        <v>77</v>
      </c>
    </row>
    <row r="10" spans="1:15" x14ac:dyDescent="0.25">
      <c r="A10" t="s">
        <v>8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9</v>
      </c>
      <c r="J10" t="s">
        <v>9</v>
      </c>
      <c r="K10" t="s">
        <v>9</v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5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5" x14ac:dyDescent="0.25">
      <c r="A15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 spans="1:15" x14ac:dyDescent="0.25">
      <c r="A16" t="s">
        <v>15</v>
      </c>
      <c r="B16">
        <v>6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</row>
    <row r="17" spans="1:11" x14ac:dyDescent="0.25">
      <c r="A17" t="s">
        <v>16</v>
      </c>
      <c r="B17">
        <v>6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</row>
    <row r="18" spans="1:11" x14ac:dyDescent="0.25">
      <c r="A18" t="s">
        <v>17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 s="13">
        <v>10</v>
      </c>
    </row>
    <row r="19" spans="1:11" x14ac:dyDescent="0.25">
      <c r="A19" t="s">
        <v>18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  <c r="I19">
        <v>20</v>
      </c>
      <c r="J19">
        <v>20</v>
      </c>
      <c r="K19">
        <v>20</v>
      </c>
    </row>
    <row r="20" spans="1:11" x14ac:dyDescent="0.2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 x14ac:dyDescent="0.25">
      <c r="A21" t="s">
        <v>19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</row>
    <row r="22" spans="1:11" x14ac:dyDescent="0.25">
      <c r="A22" t="s">
        <v>20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BECB-258F-40D4-9383-610E0B4957F2}">
  <dimension ref="A1:AB155"/>
  <sheetViews>
    <sheetView topLeftCell="B1" workbookViewId="0">
      <pane ySplit="1" topLeftCell="A49" activePane="bottomLeft" state="frozen"/>
      <selection pane="bottomLeft" sqref="A1:B1048576"/>
    </sheetView>
  </sheetViews>
  <sheetFormatPr defaultRowHeight="15" x14ac:dyDescent="0.25"/>
  <cols>
    <col min="1" max="1" width="13.7109375" bestFit="1" customWidth="1"/>
    <col min="2" max="2" width="19.140625" bestFit="1" customWidth="1"/>
    <col min="3" max="3" width="10.140625" customWidth="1"/>
    <col min="4" max="6" width="13.85546875" customWidth="1"/>
    <col min="7" max="19" width="10.140625" customWidth="1"/>
    <col min="28" max="28" width="13.85546875" customWidth="1"/>
  </cols>
  <sheetData>
    <row r="1" spans="1:28" s="1" customFormat="1" ht="66.75" customHeight="1" x14ac:dyDescent="0.25">
      <c r="A1" s="2" t="s">
        <v>81</v>
      </c>
      <c r="B1" s="2" t="s">
        <v>52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75</v>
      </c>
    </row>
    <row r="2" spans="1:28" x14ac:dyDescent="0.25">
      <c r="A2" t="str">
        <f>[1]Scenario!B10</f>
        <v>Waihou-Piako</v>
      </c>
      <c r="B2" t="str">
        <f>[1]Scenario!B2</f>
        <v>default</v>
      </c>
      <c r="C2">
        <v>0</v>
      </c>
      <c r="D2" s="11">
        <v>718336707</v>
      </c>
      <c r="E2" s="11">
        <v>616071747</v>
      </c>
      <c r="F2" s="11">
        <v>200078113</v>
      </c>
      <c r="G2" s="7">
        <v>1020</v>
      </c>
      <c r="H2" s="7">
        <v>381</v>
      </c>
      <c r="I2" s="7">
        <v>934</v>
      </c>
      <c r="J2" s="7">
        <v>983</v>
      </c>
      <c r="K2" s="7">
        <v>9068</v>
      </c>
      <c r="L2" s="7">
        <v>3558</v>
      </c>
      <c r="M2" s="7">
        <v>9000</v>
      </c>
      <c r="N2" s="7">
        <v>9068</v>
      </c>
      <c r="O2" s="9">
        <v>0.1125</v>
      </c>
      <c r="P2" s="9">
        <v>0.1071</v>
      </c>
      <c r="Q2" s="9">
        <v>0.1038</v>
      </c>
      <c r="R2" s="9">
        <v>0.1084</v>
      </c>
      <c r="S2" s="7">
        <v>68</v>
      </c>
      <c r="T2" s="7">
        <v>3558</v>
      </c>
      <c r="U2" s="7">
        <v>1314</v>
      </c>
      <c r="V2" s="7">
        <v>5442</v>
      </c>
      <c r="W2" s="7">
        <v>573476.255999999</v>
      </c>
      <c r="X2" s="7">
        <v>2966620.6879999898</v>
      </c>
      <c r="Y2" s="7">
        <v>1285647.4239999901</v>
      </c>
      <c r="Z2" s="7">
        <v>85011.712</v>
      </c>
      <c r="AA2" s="7">
        <v>523229.087999999</v>
      </c>
      <c r="AB2" s="11">
        <f>D2-E2</f>
        <v>102264960</v>
      </c>
    </row>
    <row r="3" spans="1:28" x14ac:dyDescent="0.25">
      <c r="A3" t="str">
        <f>A2</f>
        <v>Waihou-Piako</v>
      </c>
      <c r="B3" t="str">
        <f>B2</f>
        <v>default</v>
      </c>
      <c r="C3">
        <v>1</v>
      </c>
      <c r="D3" s="11">
        <v>718882591</v>
      </c>
      <c r="E3" s="11">
        <v>615978889</v>
      </c>
      <c r="F3" s="11">
        <v>241774176</v>
      </c>
      <c r="G3" s="7">
        <v>1415</v>
      </c>
      <c r="H3" s="7">
        <v>595</v>
      </c>
      <c r="I3" s="7">
        <v>1351</v>
      </c>
      <c r="J3" s="7">
        <v>1411</v>
      </c>
      <c r="K3" s="7">
        <v>8761</v>
      </c>
      <c r="L3" s="7">
        <v>3441</v>
      </c>
      <c r="M3" s="7">
        <v>8682</v>
      </c>
      <c r="N3" s="7">
        <v>8761</v>
      </c>
      <c r="O3" s="9">
        <v>0.1615</v>
      </c>
      <c r="P3" s="9">
        <v>0.1729</v>
      </c>
      <c r="Q3" s="9">
        <v>0.15559999999999999</v>
      </c>
      <c r="R3" s="9">
        <v>0.16109999999999999</v>
      </c>
      <c r="S3" s="7">
        <v>79</v>
      </c>
      <c r="T3" s="7">
        <v>3441</v>
      </c>
      <c r="U3" s="7">
        <v>1621</v>
      </c>
      <c r="V3" s="7">
        <v>5241</v>
      </c>
      <c r="W3" s="7">
        <v>573688.81600000104</v>
      </c>
      <c r="X3" s="7">
        <v>2967115.7439999999</v>
      </c>
      <c r="Y3" s="7">
        <v>1284754.656</v>
      </c>
      <c r="Z3" s="7">
        <v>84952.815999999904</v>
      </c>
      <c r="AA3" s="7">
        <v>523171.26400000002</v>
      </c>
      <c r="AB3" s="11">
        <f t="shared" ref="AB3:AB66" si="0">D3-E3</f>
        <v>102903702</v>
      </c>
    </row>
    <row r="4" spans="1:28" x14ac:dyDescent="0.25">
      <c r="A4" t="str">
        <f t="shared" ref="A4:B67" si="1">A3</f>
        <v>Waihou-Piako</v>
      </c>
      <c r="B4" t="str">
        <f t="shared" si="1"/>
        <v>default</v>
      </c>
      <c r="C4">
        <v>2</v>
      </c>
      <c r="D4" s="11">
        <v>716043208</v>
      </c>
      <c r="E4" s="11">
        <v>615312997</v>
      </c>
      <c r="F4" s="11">
        <v>231795017</v>
      </c>
      <c r="G4" s="7">
        <v>1730</v>
      </c>
      <c r="H4" s="7">
        <v>766</v>
      </c>
      <c r="I4" s="7">
        <v>1798</v>
      </c>
      <c r="J4" s="7">
        <v>1773</v>
      </c>
      <c r="K4" s="7">
        <v>8533</v>
      </c>
      <c r="L4" s="7">
        <v>3358</v>
      </c>
      <c r="M4" s="7">
        <v>8446</v>
      </c>
      <c r="N4" s="7">
        <v>8533</v>
      </c>
      <c r="O4" s="9">
        <v>0.20269999999999999</v>
      </c>
      <c r="P4" s="9">
        <v>0.2281</v>
      </c>
      <c r="Q4" s="9">
        <v>0.21290000000000001</v>
      </c>
      <c r="R4" s="9">
        <v>0.20780000000000001</v>
      </c>
      <c r="S4" s="7">
        <v>87</v>
      </c>
      <c r="T4" s="7">
        <v>3358</v>
      </c>
      <c r="U4" s="7">
        <v>1849</v>
      </c>
      <c r="V4" s="7">
        <v>5088</v>
      </c>
      <c r="W4" s="7">
        <v>473558.97600000002</v>
      </c>
      <c r="X4" s="7">
        <v>2770889.6159999999</v>
      </c>
      <c r="Y4" s="7">
        <v>1128166.78399999</v>
      </c>
      <c r="Z4" s="7">
        <v>77986.047999999995</v>
      </c>
      <c r="AA4" s="7">
        <v>470136.255999999</v>
      </c>
      <c r="AB4" s="11">
        <f t="shared" si="0"/>
        <v>100730211</v>
      </c>
    </row>
    <row r="5" spans="1:28" x14ac:dyDescent="0.25">
      <c r="A5" t="str">
        <f t="shared" si="1"/>
        <v>Waihou-Piako</v>
      </c>
      <c r="B5" t="str">
        <f t="shared" si="1"/>
        <v>default</v>
      </c>
      <c r="C5">
        <v>3</v>
      </c>
      <c r="D5" s="11">
        <v>714793938</v>
      </c>
      <c r="E5" s="11">
        <v>613587409</v>
      </c>
      <c r="F5" s="11">
        <v>232997488</v>
      </c>
      <c r="G5" s="7">
        <v>1998</v>
      </c>
      <c r="H5" s="7">
        <v>958</v>
      </c>
      <c r="I5" s="7">
        <v>2157</v>
      </c>
      <c r="J5" s="7">
        <v>2145</v>
      </c>
      <c r="K5" s="7">
        <v>8294</v>
      </c>
      <c r="L5" s="7">
        <v>3272</v>
      </c>
      <c r="M5" s="7">
        <v>8203</v>
      </c>
      <c r="N5" s="7">
        <v>8294</v>
      </c>
      <c r="O5" s="9">
        <v>0.2409</v>
      </c>
      <c r="P5" s="9">
        <v>0.2928</v>
      </c>
      <c r="Q5" s="9">
        <v>0.26300000000000001</v>
      </c>
      <c r="R5" s="9">
        <v>0.2586</v>
      </c>
      <c r="S5" s="7">
        <v>91</v>
      </c>
      <c r="T5" s="7">
        <v>3272</v>
      </c>
      <c r="U5" s="7">
        <v>2088</v>
      </c>
      <c r="V5" s="7">
        <v>4931</v>
      </c>
      <c r="W5" s="7">
        <v>398276.54399999999</v>
      </c>
      <c r="X5" s="7">
        <v>2635877.3759999899</v>
      </c>
      <c r="Y5" s="7">
        <v>993708.70400000003</v>
      </c>
      <c r="Z5" s="7">
        <v>72493.024000000005</v>
      </c>
      <c r="AA5" s="7">
        <v>427046.22399999999</v>
      </c>
      <c r="AB5" s="11">
        <f t="shared" si="0"/>
        <v>101206529</v>
      </c>
    </row>
    <row r="6" spans="1:28" x14ac:dyDescent="0.25">
      <c r="A6" t="str">
        <f t="shared" si="1"/>
        <v>Waihou-Piako</v>
      </c>
      <c r="B6" t="str">
        <f t="shared" si="1"/>
        <v>default</v>
      </c>
      <c r="C6">
        <v>4</v>
      </c>
      <c r="D6" s="11">
        <v>713601130</v>
      </c>
      <c r="E6" s="11">
        <v>615134045</v>
      </c>
      <c r="F6" s="11">
        <v>201051468</v>
      </c>
      <c r="G6" s="7">
        <v>2269</v>
      </c>
      <c r="H6" s="7">
        <v>1048</v>
      </c>
      <c r="I6" s="7">
        <v>2424</v>
      </c>
      <c r="J6" s="7">
        <v>2495</v>
      </c>
      <c r="K6" s="7">
        <v>8135</v>
      </c>
      <c r="L6" s="7">
        <v>3172</v>
      </c>
      <c r="M6" s="7">
        <v>8029</v>
      </c>
      <c r="N6" s="7">
        <v>8135</v>
      </c>
      <c r="O6" s="9">
        <v>0.27889999999999998</v>
      </c>
      <c r="P6" s="9">
        <v>0.33040000000000003</v>
      </c>
      <c r="Q6" s="9">
        <v>0.3019</v>
      </c>
      <c r="R6" s="9">
        <v>0.30669999999999997</v>
      </c>
      <c r="S6" s="7">
        <v>106</v>
      </c>
      <c r="T6" s="7">
        <v>3172</v>
      </c>
      <c r="U6" s="7">
        <v>2247</v>
      </c>
      <c r="V6" s="7">
        <v>4857</v>
      </c>
      <c r="W6" s="7">
        <v>319281.52</v>
      </c>
      <c r="X6" s="7">
        <v>2482864.2239999902</v>
      </c>
      <c r="Y6" s="7">
        <v>875057.679999999</v>
      </c>
      <c r="Z6" s="7">
        <v>67650.175999999905</v>
      </c>
      <c r="AA6" s="7">
        <v>388640.223999999</v>
      </c>
      <c r="AB6" s="11">
        <f t="shared" si="0"/>
        <v>98467085</v>
      </c>
    </row>
    <row r="7" spans="1:28" x14ac:dyDescent="0.25">
      <c r="A7" t="str">
        <f t="shared" si="1"/>
        <v>Waihou-Piako</v>
      </c>
      <c r="B7" t="str">
        <f t="shared" si="1"/>
        <v>default</v>
      </c>
      <c r="C7">
        <v>5</v>
      </c>
      <c r="D7" s="11">
        <v>708588154</v>
      </c>
      <c r="E7" s="11">
        <v>611342690</v>
      </c>
      <c r="F7" s="11">
        <v>176828242</v>
      </c>
      <c r="G7" s="7">
        <v>2520</v>
      </c>
      <c r="H7" s="7">
        <v>1169</v>
      </c>
      <c r="I7" s="7">
        <v>2662</v>
      </c>
      <c r="J7" s="7">
        <v>2850</v>
      </c>
      <c r="K7" s="7">
        <v>7938</v>
      </c>
      <c r="L7" s="7">
        <v>3084</v>
      </c>
      <c r="M7" s="7">
        <v>7823</v>
      </c>
      <c r="N7" s="7">
        <v>7938</v>
      </c>
      <c r="O7" s="9">
        <v>0.3175</v>
      </c>
      <c r="P7" s="9">
        <v>0.37909999999999999</v>
      </c>
      <c r="Q7" s="9">
        <v>0.34029999999999999</v>
      </c>
      <c r="R7" s="9">
        <v>0.35899999999999999</v>
      </c>
      <c r="S7" s="7">
        <v>115</v>
      </c>
      <c r="T7" s="7">
        <v>3084</v>
      </c>
      <c r="U7" s="7">
        <v>2444</v>
      </c>
      <c r="V7" s="7">
        <v>4739</v>
      </c>
      <c r="W7" s="7">
        <v>259758.511999999</v>
      </c>
      <c r="X7" s="7">
        <v>2343296.64</v>
      </c>
      <c r="Y7" s="7">
        <v>799481.90399999905</v>
      </c>
      <c r="Z7" s="7">
        <v>63161.392</v>
      </c>
      <c r="AA7" s="7">
        <v>357463.93599999999</v>
      </c>
      <c r="AB7" s="11">
        <f t="shared" si="0"/>
        <v>97245464</v>
      </c>
    </row>
    <row r="8" spans="1:28" x14ac:dyDescent="0.25">
      <c r="A8" t="str">
        <f t="shared" si="1"/>
        <v>Waihou-Piako</v>
      </c>
      <c r="B8" t="str">
        <f t="shared" si="1"/>
        <v>default</v>
      </c>
      <c r="C8">
        <v>6</v>
      </c>
      <c r="D8" s="11">
        <v>705462883</v>
      </c>
      <c r="E8" s="11">
        <v>609010407</v>
      </c>
      <c r="F8" s="11">
        <v>187352137</v>
      </c>
      <c r="G8" s="7">
        <v>2855</v>
      </c>
      <c r="H8" s="7">
        <v>1284</v>
      </c>
      <c r="I8" s="7">
        <v>3027</v>
      </c>
      <c r="J8" s="7">
        <v>3017</v>
      </c>
      <c r="K8" s="7">
        <v>7784</v>
      </c>
      <c r="L8" s="7">
        <v>3006</v>
      </c>
      <c r="M8" s="7">
        <v>7657</v>
      </c>
      <c r="N8" s="7">
        <v>7784</v>
      </c>
      <c r="O8" s="9">
        <v>0.36680000000000001</v>
      </c>
      <c r="P8" s="9">
        <v>0.42709999999999998</v>
      </c>
      <c r="Q8" s="9">
        <v>0.39529999999999998</v>
      </c>
      <c r="R8" s="9">
        <v>0.3876</v>
      </c>
      <c r="S8" s="7">
        <v>127</v>
      </c>
      <c r="T8" s="7">
        <v>3006</v>
      </c>
      <c r="U8" s="7">
        <v>2598</v>
      </c>
      <c r="V8" s="7">
        <v>4651</v>
      </c>
      <c r="W8" s="7">
        <v>193211.59999999899</v>
      </c>
      <c r="X8" s="7">
        <v>2210030.352</v>
      </c>
      <c r="Y8" s="7">
        <v>714195.00800000003</v>
      </c>
      <c r="Z8" s="7">
        <v>59021.951999999903</v>
      </c>
      <c r="AA8" s="7">
        <v>324655.44</v>
      </c>
      <c r="AB8" s="11">
        <f t="shared" si="0"/>
        <v>96452476</v>
      </c>
    </row>
    <row r="9" spans="1:28" x14ac:dyDescent="0.25">
      <c r="A9" t="str">
        <f t="shared" si="1"/>
        <v>Waihou-Piako</v>
      </c>
      <c r="B9" t="str">
        <f t="shared" si="1"/>
        <v>default</v>
      </c>
      <c r="C9">
        <v>7</v>
      </c>
      <c r="D9" s="11">
        <v>700987890</v>
      </c>
      <c r="E9" s="11">
        <v>607476466</v>
      </c>
      <c r="F9" s="11">
        <v>184666727</v>
      </c>
      <c r="G9" s="7">
        <v>3104</v>
      </c>
      <c r="H9" s="7">
        <v>1349</v>
      </c>
      <c r="I9" s="7">
        <v>3456</v>
      </c>
      <c r="J9" s="7">
        <v>3289</v>
      </c>
      <c r="K9" s="7">
        <v>7662</v>
      </c>
      <c r="L9" s="7">
        <v>2926</v>
      </c>
      <c r="M9" s="7">
        <v>7542</v>
      </c>
      <c r="N9" s="7">
        <v>7662</v>
      </c>
      <c r="O9" s="9">
        <v>0.40510000000000002</v>
      </c>
      <c r="P9" s="9">
        <v>0.46100000000000002</v>
      </c>
      <c r="Q9" s="9">
        <v>0.4582</v>
      </c>
      <c r="R9" s="9">
        <v>0.42930000000000001</v>
      </c>
      <c r="S9" s="7">
        <v>120</v>
      </c>
      <c r="T9" s="7">
        <v>2926</v>
      </c>
      <c r="U9" s="7">
        <v>2720</v>
      </c>
      <c r="V9" s="7">
        <v>4616</v>
      </c>
      <c r="W9" s="7">
        <v>139395.20000000001</v>
      </c>
      <c r="X9" s="7">
        <v>2114194.656</v>
      </c>
      <c r="Y9" s="7">
        <v>654388.91199999896</v>
      </c>
      <c r="Z9" s="7">
        <v>55647.103999999999</v>
      </c>
      <c r="AA9" s="7">
        <v>300063.50400000002</v>
      </c>
      <c r="AB9" s="11">
        <f t="shared" si="0"/>
        <v>93511424</v>
      </c>
    </row>
    <row r="10" spans="1:28" x14ac:dyDescent="0.25">
      <c r="A10" t="str">
        <f t="shared" si="1"/>
        <v>Waihou-Piako</v>
      </c>
      <c r="B10" t="str">
        <f t="shared" si="1"/>
        <v>default</v>
      </c>
      <c r="C10">
        <v>8</v>
      </c>
      <c r="D10" s="11">
        <v>695994467</v>
      </c>
      <c r="E10" s="11">
        <v>604660154</v>
      </c>
      <c r="F10" s="11">
        <v>188789232</v>
      </c>
      <c r="G10" s="7">
        <v>3315</v>
      </c>
      <c r="H10" s="7">
        <v>1456</v>
      </c>
      <c r="I10" s="7">
        <v>3745</v>
      </c>
      <c r="J10" s="7">
        <v>3572</v>
      </c>
      <c r="K10" s="7">
        <v>7519</v>
      </c>
      <c r="L10" s="7">
        <v>2830</v>
      </c>
      <c r="M10" s="7">
        <v>7389</v>
      </c>
      <c r="N10" s="7">
        <v>7519</v>
      </c>
      <c r="O10" s="9">
        <v>0.44090000000000001</v>
      </c>
      <c r="P10" s="9">
        <v>0.51449999999999996</v>
      </c>
      <c r="Q10" s="9">
        <v>0.50680000000000003</v>
      </c>
      <c r="R10" s="9">
        <v>0.47510000000000002</v>
      </c>
      <c r="S10" s="7">
        <v>130</v>
      </c>
      <c r="T10" s="7">
        <v>2830</v>
      </c>
      <c r="U10" s="7">
        <v>2863</v>
      </c>
      <c r="V10" s="7">
        <v>4559</v>
      </c>
      <c r="W10" s="7">
        <v>93507.808000000005</v>
      </c>
      <c r="X10" s="7">
        <v>2012452.112</v>
      </c>
      <c r="Y10" s="7">
        <v>570196.25599999796</v>
      </c>
      <c r="Z10" s="7">
        <v>52149.952000000099</v>
      </c>
      <c r="AA10" s="7">
        <v>276701.26400000002</v>
      </c>
      <c r="AB10" s="11">
        <f t="shared" si="0"/>
        <v>91334313</v>
      </c>
    </row>
    <row r="11" spans="1:28" x14ac:dyDescent="0.25">
      <c r="A11" t="str">
        <f t="shared" si="1"/>
        <v>Waihou-Piako</v>
      </c>
      <c r="B11" t="str">
        <f t="shared" si="1"/>
        <v>default</v>
      </c>
      <c r="C11">
        <v>9</v>
      </c>
      <c r="D11" s="11">
        <v>691362962</v>
      </c>
      <c r="E11" s="11">
        <v>600576721</v>
      </c>
      <c r="F11" s="11">
        <v>177169739</v>
      </c>
      <c r="G11" s="7">
        <v>3368</v>
      </c>
      <c r="H11" s="7">
        <v>1459</v>
      </c>
      <c r="I11" s="7">
        <v>3894</v>
      </c>
      <c r="J11" s="7">
        <v>3648</v>
      </c>
      <c r="K11" s="7">
        <v>7325</v>
      </c>
      <c r="L11" s="7">
        <v>2773</v>
      </c>
      <c r="M11" s="7">
        <v>7188</v>
      </c>
      <c r="N11" s="7">
        <v>7325</v>
      </c>
      <c r="O11" s="9">
        <v>0.45979999999999999</v>
      </c>
      <c r="P11" s="9">
        <v>0.52610000000000001</v>
      </c>
      <c r="Q11" s="9">
        <v>0.54169999999999996</v>
      </c>
      <c r="R11" s="9">
        <v>0.498</v>
      </c>
      <c r="S11" s="7">
        <v>137</v>
      </c>
      <c r="T11" s="7">
        <v>2773</v>
      </c>
      <c r="U11" s="7">
        <v>3057</v>
      </c>
      <c r="V11" s="7">
        <v>4415</v>
      </c>
      <c r="W11" s="7">
        <v>41437.183999999899</v>
      </c>
      <c r="X11" s="7">
        <v>1894168.848</v>
      </c>
      <c r="Y11" s="7">
        <v>520807.03999999899</v>
      </c>
      <c r="Z11" s="7">
        <v>48887.663999999997</v>
      </c>
      <c r="AA11" s="7">
        <v>253771.90399999899</v>
      </c>
      <c r="AB11" s="11">
        <f t="shared" si="0"/>
        <v>90786241</v>
      </c>
    </row>
    <row r="12" spans="1:28" x14ac:dyDescent="0.25">
      <c r="A12" s="5" t="str">
        <f t="shared" si="1"/>
        <v>Waihou-Piako</v>
      </c>
      <c r="B12" s="5" t="str">
        <f t="shared" si="1"/>
        <v>default</v>
      </c>
      <c r="C12" s="5">
        <v>10</v>
      </c>
      <c r="D12" s="12">
        <v>692806687</v>
      </c>
      <c r="E12" s="12">
        <v>602344654</v>
      </c>
      <c r="F12" s="12">
        <v>183654015</v>
      </c>
      <c r="G12" s="8">
        <v>3454</v>
      </c>
      <c r="H12" s="8">
        <v>1561</v>
      </c>
      <c r="I12" s="8">
        <v>3920</v>
      </c>
      <c r="J12" s="8">
        <v>3676</v>
      </c>
      <c r="K12" s="8">
        <v>7120</v>
      </c>
      <c r="L12" s="8">
        <v>2739</v>
      </c>
      <c r="M12" s="8">
        <v>6975</v>
      </c>
      <c r="N12" s="8">
        <v>7120</v>
      </c>
      <c r="O12" s="10">
        <v>0.48509999999999998</v>
      </c>
      <c r="P12" s="10">
        <v>0.56989999999999996</v>
      </c>
      <c r="Q12" s="10">
        <v>0.56200000000000006</v>
      </c>
      <c r="R12" s="10">
        <v>0.51629999999999998</v>
      </c>
      <c r="S12" s="8">
        <v>145</v>
      </c>
      <c r="T12" s="8">
        <v>2739</v>
      </c>
      <c r="U12" s="8">
        <v>3262</v>
      </c>
      <c r="V12" s="8">
        <v>4236</v>
      </c>
      <c r="W12" s="8">
        <v>-17878.975999999901</v>
      </c>
      <c r="X12" s="8">
        <v>1820594.84799999</v>
      </c>
      <c r="Y12" s="8">
        <v>491729.91999999998</v>
      </c>
      <c r="Z12" s="8">
        <v>46902</v>
      </c>
      <c r="AA12" s="8">
        <v>238237.47200000001</v>
      </c>
      <c r="AB12" s="12">
        <f t="shared" si="0"/>
        <v>90462033</v>
      </c>
    </row>
    <row r="13" spans="1:28" x14ac:dyDescent="0.25">
      <c r="A13" t="str">
        <f t="shared" si="1"/>
        <v>Waihou-Piako</v>
      </c>
      <c r="B13" t="str">
        <f>[1]Scenario!C2</f>
        <v>no-landuse-change</v>
      </c>
      <c r="C13">
        <v>0</v>
      </c>
      <c r="D13" s="11">
        <v>718336707</v>
      </c>
      <c r="E13" s="11">
        <v>616071747</v>
      </c>
      <c r="F13" s="11">
        <v>200078113</v>
      </c>
      <c r="G13" s="7">
        <v>1020</v>
      </c>
      <c r="H13" s="7">
        <v>381</v>
      </c>
      <c r="I13" s="7">
        <v>934</v>
      </c>
      <c r="J13" s="7">
        <v>983</v>
      </c>
      <c r="K13" s="7">
        <v>9068</v>
      </c>
      <c r="L13" s="7">
        <v>3558</v>
      </c>
      <c r="M13" s="7">
        <v>9000</v>
      </c>
      <c r="N13" s="7">
        <v>9068</v>
      </c>
      <c r="O13" s="9">
        <v>0.1125</v>
      </c>
      <c r="P13" s="9">
        <v>0.1071</v>
      </c>
      <c r="Q13" s="9">
        <v>0.1038</v>
      </c>
      <c r="R13" s="9">
        <v>0.1084</v>
      </c>
      <c r="S13" s="7">
        <v>68</v>
      </c>
      <c r="T13" s="7">
        <v>3558</v>
      </c>
      <c r="U13" s="7">
        <v>1314</v>
      </c>
      <c r="V13" s="7">
        <v>5442</v>
      </c>
      <c r="W13" s="7">
        <v>573476.255999999</v>
      </c>
      <c r="X13" s="7">
        <v>2966620.6879999898</v>
      </c>
      <c r="Y13" s="7">
        <v>1285647.4239999901</v>
      </c>
      <c r="Z13" s="7">
        <v>85011.712</v>
      </c>
      <c r="AA13" s="7">
        <v>523229.087999999</v>
      </c>
      <c r="AB13" s="11">
        <f t="shared" si="0"/>
        <v>102264960</v>
      </c>
    </row>
    <row r="14" spans="1:28" x14ac:dyDescent="0.25">
      <c r="A14" t="str">
        <f t="shared" si="1"/>
        <v>Waihou-Piako</v>
      </c>
      <c r="B14" t="str">
        <f>B13</f>
        <v>no-landuse-change</v>
      </c>
      <c r="C14">
        <v>1</v>
      </c>
      <c r="D14" s="11">
        <v>718882591</v>
      </c>
      <c r="E14" s="11">
        <v>615978889</v>
      </c>
      <c r="F14" s="11">
        <v>244045336</v>
      </c>
      <c r="G14" s="7">
        <v>1302</v>
      </c>
      <c r="H14" s="7">
        <v>577</v>
      </c>
      <c r="I14" s="7">
        <v>1348</v>
      </c>
      <c r="J14" s="7">
        <v>1336</v>
      </c>
      <c r="K14" s="7">
        <v>9068</v>
      </c>
      <c r="L14" s="7">
        <v>3558</v>
      </c>
      <c r="M14" s="7">
        <v>9000</v>
      </c>
      <c r="N14" s="7">
        <v>9068</v>
      </c>
      <c r="O14" s="9">
        <v>0.14360000000000001</v>
      </c>
      <c r="P14" s="9">
        <v>0.16220000000000001</v>
      </c>
      <c r="Q14" s="9">
        <v>0.14979999999999999</v>
      </c>
      <c r="R14" s="9">
        <v>0.14729999999999999</v>
      </c>
      <c r="S14" s="7">
        <v>68</v>
      </c>
      <c r="T14" s="7">
        <v>3558</v>
      </c>
      <c r="U14" s="7">
        <v>1314</v>
      </c>
      <c r="V14" s="7">
        <v>5442</v>
      </c>
      <c r="W14" s="7">
        <v>573688.81599999999</v>
      </c>
      <c r="X14" s="7">
        <v>2967115.7439999902</v>
      </c>
      <c r="Y14" s="7">
        <v>1284754.6559999899</v>
      </c>
      <c r="Z14" s="7">
        <v>84952.815999999904</v>
      </c>
      <c r="AA14" s="7">
        <v>523171.26400000002</v>
      </c>
      <c r="AB14" s="11">
        <f t="shared" si="0"/>
        <v>102903702</v>
      </c>
    </row>
    <row r="15" spans="1:28" x14ac:dyDescent="0.25">
      <c r="A15" t="str">
        <f t="shared" si="1"/>
        <v>Waihou-Piako</v>
      </c>
      <c r="B15" t="str">
        <f t="shared" si="1"/>
        <v>no-landuse-change</v>
      </c>
      <c r="C15">
        <v>2</v>
      </c>
      <c r="D15" s="11">
        <v>717216373</v>
      </c>
      <c r="E15" s="11">
        <v>615344134</v>
      </c>
      <c r="F15" s="11">
        <v>253952302</v>
      </c>
      <c r="G15" s="7">
        <v>1783</v>
      </c>
      <c r="H15" s="7">
        <v>845</v>
      </c>
      <c r="I15" s="7">
        <v>1713</v>
      </c>
      <c r="J15" s="7">
        <v>1724</v>
      </c>
      <c r="K15" s="7">
        <v>9068</v>
      </c>
      <c r="L15" s="7">
        <v>3558</v>
      </c>
      <c r="M15" s="7">
        <v>9000</v>
      </c>
      <c r="N15" s="7">
        <v>9068</v>
      </c>
      <c r="O15" s="9">
        <v>0.1966</v>
      </c>
      <c r="P15" s="9">
        <v>0.23749999999999999</v>
      </c>
      <c r="Q15" s="9">
        <v>0.1903</v>
      </c>
      <c r="R15" s="9">
        <v>0.19009999999999999</v>
      </c>
      <c r="S15" s="7">
        <v>68</v>
      </c>
      <c r="T15" s="7">
        <v>3558</v>
      </c>
      <c r="U15" s="7">
        <v>1314</v>
      </c>
      <c r="V15" s="7">
        <v>5442</v>
      </c>
      <c r="W15" s="7">
        <v>569291.58400000003</v>
      </c>
      <c r="X15" s="7">
        <v>2892298.9919999898</v>
      </c>
      <c r="Y15" s="7">
        <v>1182999.93599999</v>
      </c>
      <c r="Z15" s="7">
        <v>81013.711999999898</v>
      </c>
      <c r="AA15" s="7">
        <v>494107.77599999798</v>
      </c>
      <c r="AB15" s="11">
        <f t="shared" si="0"/>
        <v>101872239</v>
      </c>
    </row>
    <row r="16" spans="1:28" x14ac:dyDescent="0.25">
      <c r="A16" t="str">
        <f t="shared" si="1"/>
        <v>Waihou-Piako</v>
      </c>
      <c r="B16" t="str">
        <f t="shared" si="1"/>
        <v>no-landuse-change</v>
      </c>
      <c r="C16">
        <v>3</v>
      </c>
      <c r="D16" s="11">
        <v>716354636</v>
      </c>
      <c r="E16" s="11">
        <v>615267598</v>
      </c>
      <c r="F16" s="11">
        <v>214174019</v>
      </c>
      <c r="G16" s="7">
        <v>2312</v>
      </c>
      <c r="H16" s="7">
        <v>1088</v>
      </c>
      <c r="I16" s="7">
        <v>2208</v>
      </c>
      <c r="J16" s="7">
        <v>2229</v>
      </c>
      <c r="K16" s="7">
        <v>9068</v>
      </c>
      <c r="L16" s="7">
        <v>3558</v>
      </c>
      <c r="M16" s="7">
        <v>9000</v>
      </c>
      <c r="N16" s="7">
        <v>9068</v>
      </c>
      <c r="O16" s="9">
        <v>0.255</v>
      </c>
      <c r="P16" s="9">
        <v>0.30580000000000002</v>
      </c>
      <c r="Q16" s="9">
        <v>0.24529999999999999</v>
      </c>
      <c r="R16" s="9">
        <v>0.24579999999999999</v>
      </c>
      <c r="S16" s="7">
        <v>68</v>
      </c>
      <c r="T16" s="7">
        <v>3558</v>
      </c>
      <c r="U16" s="7">
        <v>1314</v>
      </c>
      <c r="V16" s="7">
        <v>5442</v>
      </c>
      <c r="W16" s="7">
        <v>562195.05599999998</v>
      </c>
      <c r="X16" s="7">
        <v>2810483.0079999999</v>
      </c>
      <c r="Y16" s="7">
        <v>1064227.93599999</v>
      </c>
      <c r="Z16" s="7">
        <v>76690.032000000094</v>
      </c>
      <c r="AA16" s="7">
        <v>458303.935999999</v>
      </c>
      <c r="AB16" s="11">
        <f t="shared" si="0"/>
        <v>101087038</v>
      </c>
    </row>
    <row r="17" spans="1:28" x14ac:dyDescent="0.25">
      <c r="A17" t="str">
        <f t="shared" si="1"/>
        <v>Waihou-Piako</v>
      </c>
      <c r="B17" t="str">
        <f t="shared" si="1"/>
        <v>no-landuse-change</v>
      </c>
      <c r="C17">
        <v>4</v>
      </c>
      <c r="D17" s="11">
        <v>712864789</v>
      </c>
      <c r="E17" s="11">
        <v>616552834</v>
      </c>
      <c r="F17" s="11">
        <v>193508667</v>
      </c>
      <c r="G17" s="7">
        <v>2622</v>
      </c>
      <c r="H17" s="7">
        <v>1312</v>
      </c>
      <c r="I17" s="7">
        <v>2606</v>
      </c>
      <c r="J17" s="7">
        <v>2630</v>
      </c>
      <c r="K17" s="7">
        <v>9068</v>
      </c>
      <c r="L17" s="7">
        <v>3558</v>
      </c>
      <c r="M17" s="7">
        <v>9000</v>
      </c>
      <c r="N17" s="7">
        <v>9068</v>
      </c>
      <c r="O17" s="9">
        <v>0.28910000000000002</v>
      </c>
      <c r="P17" s="9">
        <v>0.36870000000000003</v>
      </c>
      <c r="Q17" s="9">
        <v>0.28960000000000002</v>
      </c>
      <c r="R17" s="9">
        <v>0.28999999999999998</v>
      </c>
      <c r="S17" s="7">
        <v>68</v>
      </c>
      <c r="T17" s="7">
        <v>3558</v>
      </c>
      <c r="U17" s="7">
        <v>1314</v>
      </c>
      <c r="V17" s="7">
        <v>5442</v>
      </c>
      <c r="W17" s="7">
        <v>552403.903999998</v>
      </c>
      <c r="X17" s="7">
        <v>2698253.10399999</v>
      </c>
      <c r="Y17" s="7">
        <v>933012.25600000098</v>
      </c>
      <c r="Z17" s="7">
        <v>71107.567999999897</v>
      </c>
      <c r="AA17" s="7">
        <v>417970.17599999998</v>
      </c>
      <c r="AB17" s="11">
        <f t="shared" si="0"/>
        <v>96311955</v>
      </c>
    </row>
    <row r="18" spans="1:28" x14ac:dyDescent="0.25">
      <c r="A18" t="str">
        <f t="shared" si="1"/>
        <v>Waihou-Piako</v>
      </c>
      <c r="B18" t="str">
        <f t="shared" si="1"/>
        <v>no-landuse-change</v>
      </c>
      <c r="C18">
        <v>5</v>
      </c>
      <c r="D18" s="11">
        <v>710750415</v>
      </c>
      <c r="E18" s="11">
        <v>615840165</v>
      </c>
      <c r="F18" s="11">
        <v>195409274</v>
      </c>
      <c r="G18" s="7">
        <v>3021</v>
      </c>
      <c r="H18" s="7">
        <v>1480</v>
      </c>
      <c r="I18" s="7">
        <v>2937</v>
      </c>
      <c r="J18" s="7">
        <v>3038</v>
      </c>
      <c r="K18" s="7">
        <v>9068</v>
      </c>
      <c r="L18" s="7">
        <v>3558</v>
      </c>
      <c r="M18" s="7">
        <v>9000</v>
      </c>
      <c r="N18" s="7">
        <v>9068</v>
      </c>
      <c r="O18" s="9">
        <v>0.33310000000000001</v>
      </c>
      <c r="P18" s="9">
        <v>0.41599999999999998</v>
      </c>
      <c r="Q18" s="9">
        <v>0.32629999999999998</v>
      </c>
      <c r="R18" s="9">
        <v>0.33500000000000002</v>
      </c>
      <c r="S18" s="7">
        <v>68</v>
      </c>
      <c r="T18" s="7">
        <v>3558</v>
      </c>
      <c r="U18" s="7">
        <v>1314</v>
      </c>
      <c r="V18" s="7">
        <v>5442</v>
      </c>
      <c r="W18" s="7">
        <v>547092.43200000003</v>
      </c>
      <c r="X18" s="7">
        <v>2613063.58399999</v>
      </c>
      <c r="Y18" s="7">
        <v>847559.68000000005</v>
      </c>
      <c r="Z18" s="7">
        <v>67250.847999999707</v>
      </c>
      <c r="AA18" s="7">
        <v>388399.45600000001</v>
      </c>
      <c r="AB18" s="11">
        <f t="shared" si="0"/>
        <v>94910250</v>
      </c>
    </row>
    <row r="19" spans="1:28" x14ac:dyDescent="0.25">
      <c r="A19" t="str">
        <f t="shared" si="1"/>
        <v>Waihou-Piako</v>
      </c>
      <c r="B19" t="str">
        <f t="shared" si="1"/>
        <v>no-landuse-change</v>
      </c>
      <c r="C19">
        <v>6</v>
      </c>
      <c r="D19" s="11">
        <v>709293563</v>
      </c>
      <c r="E19" s="11">
        <v>616978493</v>
      </c>
      <c r="F19" s="11">
        <v>193621860</v>
      </c>
      <c r="G19" s="7">
        <v>3372</v>
      </c>
      <c r="H19" s="7">
        <v>1621</v>
      </c>
      <c r="I19" s="7">
        <v>3354</v>
      </c>
      <c r="J19" s="7">
        <v>3306</v>
      </c>
      <c r="K19" s="7">
        <v>9068</v>
      </c>
      <c r="L19" s="7">
        <v>3558</v>
      </c>
      <c r="M19" s="7">
        <v>9000</v>
      </c>
      <c r="N19" s="7">
        <v>9068</v>
      </c>
      <c r="O19" s="9">
        <v>0.37190000000000001</v>
      </c>
      <c r="P19" s="9">
        <v>0.4556</v>
      </c>
      <c r="Q19" s="9">
        <v>0.37269999999999998</v>
      </c>
      <c r="R19" s="9">
        <v>0.36459999999999998</v>
      </c>
      <c r="S19" s="7">
        <v>68</v>
      </c>
      <c r="T19" s="7">
        <v>3558</v>
      </c>
      <c r="U19" s="7">
        <v>1314</v>
      </c>
      <c r="V19" s="7">
        <v>5442</v>
      </c>
      <c r="W19" s="7">
        <v>543188.65599999903</v>
      </c>
      <c r="X19" s="7">
        <v>2534965.872</v>
      </c>
      <c r="Y19" s="7">
        <v>768829.63199999998</v>
      </c>
      <c r="Z19" s="7">
        <v>63661.152000000002</v>
      </c>
      <c r="AA19" s="7">
        <v>362697.31199999998</v>
      </c>
      <c r="AB19" s="11">
        <f t="shared" si="0"/>
        <v>92315070</v>
      </c>
    </row>
    <row r="20" spans="1:28" x14ac:dyDescent="0.25">
      <c r="A20" t="str">
        <f t="shared" si="1"/>
        <v>Waihou-Piako</v>
      </c>
      <c r="B20" t="str">
        <f t="shared" si="1"/>
        <v>no-landuse-change</v>
      </c>
      <c r="C20">
        <v>7</v>
      </c>
      <c r="D20" s="11">
        <v>707512751</v>
      </c>
      <c r="E20" s="11">
        <v>616715136</v>
      </c>
      <c r="F20" s="11">
        <v>186436025</v>
      </c>
      <c r="G20" s="7">
        <v>3665</v>
      </c>
      <c r="H20" s="7">
        <v>1820</v>
      </c>
      <c r="I20" s="7">
        <v>3662</v>
      </c>
      <c r="J20" s="7">
        <v>3647</v>
      </c>
      <c r="K20" s="7">
        <v>9068</v>
      </c>
      <c r="L20" s="7">
        <v>3558</v>
      </c>
      <c r="M20" s="7">
        <v>9000</v>
      </c>
      <c r="N20" s="7">
        <v>9068</v>
      </c>
      <c r="O20" s="9">
        <v>0.4042</v>
      </c>
      <c r="P20" s="9">
        <v>0.51149999999999995</v>
      </c>
      <c r="Q20" s="9">
        <v>0.40689999999999998</v>
      </c>
      <c r="R20" s="9">
        <v>0.4022</v>
      </c>
      <c r="S20" s="7">
        <v>68</v>
      </c>
      <c r="T20" s="7">
        <v>3558</v>
      </c>
      <c r="U20" s="7">
        <v>1314</v>
      </c>
      <c r="V20" s="7">
        <v>5442</v>
      </c>
      <c r="W20" s="7">
        <v>535770.272</v>
      </c>
      <c r="X20" s="7">
        <v>2462476.56</v>
      </c>
      <c r="Y20" s="7">
        <v>713429.71200000006</v>
      </c>
      <c r="Z20" s="7">
        <v>60665.0079999999</v>
      </c>
      <c r="AA20" s="7">
        <v>342051.82400000002</v>
      </c>
      <c r="AB20" s="11">
        <f t="shared" si="0"/>
        <v>90797615</v>
      </c>
    </row>
    <row r="21" spans="1:28" x14ac:dyDescent="0.25">
      <c r="A21" t="str">
        <f t="shared" si="1"/>
        <v>Waihou-Piako</v>
      </c>
      <c r="B21" t="str">
        <f t="shared" si="1"/>
        <v>no-landuse-change</v>
      </c>
      <c r="C21">
        <v>8</v>
      </c>
      <c r="D21" s="11">
        <v>706624336</v>
      </c>
      <c r="E21" s="11">
        <v>616766295</v>
      </c>
      <c r="F21" s="11">
        <v>190458946</v>
      </c>
      <c r="G21" s="7">
        <v>3979</v>
      </c>
      <c r="H21" s="7">
        <v>1982</v>
      </c>
      <c r="I21" s="7">
        <v>3915</v>
      </c>
      <c r="J21" s="7">
        <v>3991</v>
      </c>
      <c r="K21" s="7">
        <v>9068</v>
      </c>
      <c r="L21" s="7">
        <v>3558</v>
      </c>
      <c r="M21" s="7">
        <v>9000</v>
      </c>
      <c r="N21" s="7">
        <v>9068</v>
      </c>
      <c r="O21" s="9">
        <v>0.43880000000000002</v>
      </c>
      <c r="P21" s="9">
        <v>0.55710000000000004</v>
      </c>
      <c r="Q21" s="9">
        <v>0.435</v>
      </c>
      <c r="R21" s="9">
        <v>0.44009999999999999</v>
      </c>
      <c r="S21" s="7">
        <v>68</v>
      </c>
      <c r="T21" s="7">
        <v>3558</v>
      </c>
      <c r="U21" s="7">
        <v>1314</v>
      </c>
      <c r="V21" s="7">
        <v>5442</v>
      </c>
      <c r="W21" s="7">
        <v>531178.54399999895</v>
      </c>
      <c r="X21" s="7">
        <v>2398196.6879999898</v>
      </c>
      <c r="Y21" s="7">
        <v>646126.57599999895</v>
      </c>
      <c r="Z21" s="7">
        <v>57752.2239999999</v>
      </c>
      <c r="AA21" s="7">
        <v>321161.071999999</v>
      </c>
      <c r="AB21" s="11">
        <f t="shared" si="0"/>
        <v>89858041</v>
      </c>
    </row>
    <row r="22" spans="1:28" x14ac:dyDescent="0.25">
      <c r="A22" t="str">
        <f t="shared" si="1"/>
        <v>Waihou-Piako</v>
      </c>
      <c r="B22" t="str">
        <f t="shared" si="1"/>
        <v>no-landuse-change</v>
      </c>
      <c r="C22">
        <v>9</v>
      </c>
      <c r="D22" s="11">
        <v>705051960</v>
      </c>
      <c r="E22" s="11">
        <v>616873898</v>
      </c>
      <c r="F22" s="11">
        <v>217599908</v>
      </c>
      <c r="G22" s="7">
        <v>4261</v>
      </c>
      <c r="H22" s="7">
        <v>2138</v>
      </c>
      <c r="I22" s="7">
        <v>4212</v>
      </c>
      <c r="J22" s="7">
        <v>4202</v>
      </c>
      <c r="K22" s="7">
        <v>9068</v>
      </c>
      <c r="L22" s="7">
        <v>3558</v>
      </c>
      <c r="M22" s="7">
        <v>9000</v>
      </c>
      <c r="N22" s="7">
        <v>9068</v>
      </c>
      <c r="O22" s="9">
        <v>0.46989999999999998</v>
      </c>
      <c r="P22" s="9">
        <v>0.60089999999999999</v>
      </c>
      <c r="Q22" s="9">
        <v>0.46800000000000003</v>
      </c>
      <c r="R22" s="9">
        <v>0.46339999999999998</v>
      </c>
      <c r="S22" s="7">
        <v>68</v>
      </c>
      <c r="T22" s="7">
        <v>3558</v>
      </c>
      <c r="U22" s="7">
        <v>1314</v>
      </c>
      <c r="V22" s="7">
        <v>5442</v>
      </c>
      <c r="W22" s="7">
        <v>524572.72</v>
      </c>
      <c r="X22" s="7">
        <v>2320800.49599999</v>
      </c>
      <c r="Y22" s="7">
        <v>597114.01599999995</v>
      </c>
      <c r="Z22" s="7">
        <v>54986.239999999998</v>
      </c>
      <c r="AA22" s="7">
        <v>301361.10399999999</v>
      </c>
      <c r="AB22" s="11">
        <f t="shared" si="0"/>
        <v>88178062</v>
      </c>
    </row>
    <row r="23" spans="1:28" x14ac:dyDescent="0.25">
      <c r="A23" s="5" t="str">
        <f t="shared" si="1"/>
        <v>Waihou-Piako</v>
      </c>
      <c r="B23" s="5" t="str">
        <f t="shared" si="1"/>
        <v>no-landuse-change</v>
      </c>
      <c r="C23" s="5">
        <v>10</v>
      </c>
      <c r="D23" s="12">
        <v>704027199</v>
      </c>
      <c r="E23" s="12">
        <v>617046240</v>
      </c>
      <c r="F23" s="12">
        <v>218278836</v>
      </c>
      <c r="G23" s="8">
        <v>4534</v>
      </c>
      <c r="H23" s="8">
        <v>2297</v>
      </c>
      <c r="I23" s="8">
        <v>4502</v>
      </c>
      <c r="J23" s="8">
        <v>4401</v>
      </c>
      <c r="K23" s="8">
        <v>9068</v>
      </c>
      <c r="L23" s="8">
        <v>3558</v>
      </c>
      <c r="M23" s="8">
        <v>9000</v>
      </c>
      <c r="N23" s="8">
        <v>9068</v>
      </c>
      <c r="O23" s="10">
        <v>0.5</v>
      </c>
      <c r="P23" s="10">
        <v>0.64559999999999995</v>
      </c>
      <c r="Q23" s="10">
        <v>0.50019999999999998</v>
      </c>
      <c r="R23" s="10">
        <v>0.48530000000000001</v>
      </c>
      <c r="S23" s="8">
        <v>68</v>
      </c>
      <c r="T23" s="8">
        <v>3558</v>
      </c>
      <c r="U23" s="8">
        <v>1314</v>
      </c>
      <c r="V23" s="8">
        <v>5442</v>
      </c>
      <c r="W23" s="8">
        <v>522273.51999999897</v>
      </c>
      <c r="X23" s="8">
        <v>2272601.392</v>
      </c>
      <c r="Y23" s="8">
        <v>544483.79199999804</v>
      </c>
      <c r="Z23" s="8">
        <v>52764.864000000103</v>
      </c>
      <c r="AA23" s="8">
        <v>285277.26399999898</v>
      </c>
      <c r="AB23" s="12">
        <f t="shared" si="0"/>
        <v>86980959</v>
      </c>
    </row>
    <row r="24" spans="1:28" x14ac:dyDescent="0.25">
      <c r="A24" t="str">
        <f t="shared" si="1"/>
        <v>Waihou-Piako</v>
      </c>
      <c r="B24" t="str">
        <f>[1]Scenario!D2</f>
        <v>low-uptake</v>
      </c>
      <c r="C24">
        <v>0</v>
      </c>
      <c r="D24" s="11">
        <v>718336707</v>
      </c>
      <c r="E24" s="11">
        <v>616071747</v>
      </c>
      <c r="F24" s="11">
        <v>200078113</v>
      </c>
      <c r="G24" s="7">
        <v>1020</v>
      </c>
      <c r="H24" s="7">
        <v>381</v>
      </c>
      <c r="I24" s="7">
        <v>934</v>
      </c>
      <c r="J24" s="7">
        <v>983</v>
      </c>
      <c r="K24" s="7">
        <v>9068</v>
      </c>
      <c r="L24" s="7">
        <v>3558</v>
      </c>
      <c r="M24" s="7">
        <v>9000</v>
      </c>
      <c r="N24" s="7">
        <v>9068</v>
      </c>
      <c r="O24" s="9">
        <v>0.1125</v>
      </c>
      <c r="P24" s="9">
        <v>0.1071</v>
      </c>
      <c r="Q24" s="9">
        <v>0.1038</v>
      </c>
      <c r="R24" s="9">
        <v>0.1084</v>
      </c>
      <c r="S24" s="7">
        <v>68</v>
      </c>
      <c r="T24" s="7">
        <v>3558</v>
      </c>
      <c r="U24" s="7">
        <v>1314</v>
      </c>
      <c r="V24" s="7">
        <v>5442</v>
      </c>
      <c r="W24" s="7">
        <v>573476.255999999</v>
      </c>
      <c r="X24" s="7">
        <v>2966620.6879999898</v>
      </c>
      <c r="Y24" s="7">
        <v>1285647.4239999901</v>
      </c>
      <c r="Z24" s="7">
        <v>85011.712</v>
      </c>
      <c r="AA24" s="7">
        <v>523229.087999999</v>
      </c>
      <c r="AB24" s="11">
        <f t="shared" si="0"/>
        <v>102264960</v>
      </c>
    </row>
    <row r="25" spans="1:28" x14ac:dyDescent="0.25">
      <c r="A25" t="str">
        <f t="shared" si="1"/>
        <v>Waihou-Piako</v>
      </c>
      <c r="B25" t="str">
        <f>B24</f>
        <v>low-uptake</v>
      </c>
      <c r="C25">
        <v>1</v>
      </c>
      <c r="D25" s="11">
        <v>718882591</v>
      </c>
      <c r="E25" s="11">
        <v>615978889</v>
      </c>
      <c r="F25" s="11">
        <v>252772392</v>
      </c>
      <c r="G25" s="7">
        <v>1154</v>
      </c>
      <c r="H25" s="7">
        <v>453</v>
      </c>
      <c r="I25" s="7">
        <v>1019</v>
      </c>
      <c r="J25" s="7">
        <v>1049</v>
      </c>
      <c r="K25" s="7">
        <v>8866</v>
      </c>
      <c r="L25" s="7">
        <v>3493</v>
      </c>
      <c r="M25" s="7">
        <v>8800</v>
      </c>
      <c r="N25" s="7">
        <v>8866</v>
      </c>
      <c r="O25" s="9">
        <v>0.13020000000000001</v>
      </c>
      <c r="P25" s="9">
        <v>0.12970000000000001</v>
      </c>
      <c r="Q25" s="9">
        <v>0.1158</v>
      </c>
      <c r="R25" s="9">
        <v>0.1183</v>
      </c>
      <c r="S25" s="7">
        <v>66</v>
      </c>
      <c r="T25" s="7">
        <v>3493</v>
      </c>
      <c r="U25" s="7">
        <v>1516</v>
      </c>
      <c r="V25" s="7">
        <v>5307</v>
      </c>
      <c r="W25" s="7">
        <v>573688.81600000104</v>
      </c>
      <c r="X25" s="7">
        <v>2967115.7439999999</v>
      </c>
      <c r="Y25" s="7">
        <v>1284754.656</v>
      </c>
      <c r="Z25" s="7">
        <v>84952.815999999904</v>
      </c>
      <c r="AA25" s="7">
        <v>523171.26400000101</v>
      </c>
      <c r="AB25" s="11">
        <f t="shared" si="0"/>
        <v>102903702</v>
      </c>
    </row>
    <row r="26" spans="1:28" x14ac:dyDescent="0.25">
      <c r="A26" t="str">
        <f t="shared" si="1"/>
        <v>Waihou-Piako</v>
      </c>
      <c r="B26" t="str">
        <f t="shared" si="1"/>
        <v>low-uptake</v>
      </c>
      <c r="C26">
        <v>2</v>
      </c>
      <c r="D26" s="11">
        <v>720003366</v>
      </c>
      <c r="E26" s="11">
        <v>617380535</v>
      </c>
      <c r="F26" s="11">
        <v>267558970</v>
      </c>
      <c r="G26" s="7">
        <v>1227</v>
      </c>
      <c r="H26" s="7">
        <v>470</v>
      </c>
      <c r="I26" s="7">
        <v>1140</v>
      </c>
      <c r="J26" s="7">
        <v>1187</v>
      </c>
      <c r="K26" s="7">
        <v>8745</v>
      </c>
      <c r="L26" s="7">
        <v>3423</v>
      </c>
      <c r="M26" s="7">
        <v>8672</v>
      </c>
      <c r="N26" s="7">
        <v>8745</v>
      </c>
      <c r="O26" s="9">
        <v>0.14030000000000001</v>
      </c>
      <c r="P26" s="9">
        <v>0.13730000000000001</v>
      </c>
      <c r="Q26" s="9">
        <v>0.13150000000000001</v>
      </c>
      <c r="R26" s="9">
        <v>0.13569999999999999</v>
      </c>
      <c r="S26" s="7">
        <v>73</v>
      </c>
      <c r="T26" s="7">
        <v>3423</v>
      </c>
      <c r="U26" s="7">
        <v>1637</v>
      </c>
      <c r="V26" s="7">
        <v>5249</v>
      </c>
      <c r="W26" s="7">
        <v>515152.46399999899</v>
      </c>
      <c r="X26" s="7">
        <v>2890585.7279999899</v>
      </c>
      <c r="Y26" s="7">
        <v>1230805.8400000001</v>
      </c>
      <c r="Z26" s="7">
        <v>82624.56</v>
      </c>
      <c r="AA26" s="7">
        <v>501876.08</v>
      </c>
      <c r="AB26" s="11">
        <f t="shared" si="0"/>
        <v>102622831</v>
      </c>
    </row>
    <row r="27" spans="1:28" x14ac:dyDescent="0.25">
      <c r="A27" t="str">
        <f t="shared" si="1"/>
        <v>Waihou-Piako</v>
      </c>
      <c r="B27" t="str">
        <f t="shared" si="1"/>
        <v>low-uptake</v>
      </c>
      <c r="C27">
        <v>3</v>
      </c>
      <c r="D27" s="11">
        <v>717614009</v>
      </c>
      <c r="E27" s="11">
        <v>614040577</v>
      </c>
      <c r="F27" s="11">
        <v>264681686</v>
      </c>
      <c r="G27" s="7">
        <v>1290</v>
      </c>
      <c r="H27" s="7">
        <v>531</v>
      </c>
      <c r="I27" s="7">
        <v>1213</v>
      </c>
      <c r="J27" s="7">
        <v>1280</v>
      </c>
      <c r="K27" s="7">
        <v>8640</v>
      </c>
      <c r="L27" s="7">
        <v>3414</v>
      </c>
      <c r="M27" s="7">
        <v>8563</v>
      </c>
      <c r="N27" s="7">
        <v>8640</v>
      </c>
      <c r="O27" s="9">
        <v>0.14929999999999999</v>
      </c>
      <c r="P27" s="9">
        <v>0.1555</v>
      </c>
      <c r="Q27" s="9">
        <v>0.14169999999999999</v>
      </c>
      <c r="R27" s="9">
        <v>0.14810000000000001</v>
      </c>
      <c r="S27" s="7">
        <v>77</v>
      </c>
      <c r="T27" s="7">
        <v>3414</v>
      </c>
      <c r="U27" s="7">
        <v>1742</v>
      </c>
      <c r="V27" s="7">
        <v>5149</v>
      </c>
      <c r="W27" s="7">
        <v>473025.00799999997</v>
      </c>
      <c r="X27" s="7">
        <v>2809874.736</v>
      </c>
      <c r="Y27" s="7">
        <v>1187066.4480000001</v>
      </c>
      <c r="Z27" s="7">
        <v>80221.871999999901</v>
      </c>
      <c r="AA27" s="7">
        <v>485419.31199999998</v>
      </c>
      <c r="AB27" s="11">
        <f t="shared" si="0"/>
        <v>103573432</v>
      </c>
    </row>
    <row r="28" spans="1:28" x14ac:dyDescent="0.25">
      <c r="A28" t="str">
        <f t="shared" si="1"/>
        <v>Waihou-Piako</v>
      </c>
      <c r="B28" t="str">
        <f t="shared" si="1"/>
        <v>low-uptake</v>
      </c>
      <c r="C28">
        <v>4</v>
      </c>
      <c r="D28" s="11">
        <v>718167369</v>
      </c>
      <c r="E28" s="11">
        <v>615846102</v>
      </c>
      <c r="F28" s="11">
        <v>231330006</v>
      </c>
      <c r="G28" s="7">
        <v>1433</v>
      </c>
      <c r="H28" s="7">
        <v>582</v>
      </c>
      <c r="I28" s="7">
        <v>1389</v>
      </c>
      <c r="J28" s="7">
        <v>1536</v>
      </c>
      <c r="K28" s="7">
        <v>8570</v>
      </c>
      <c r="L28" s="7">
        <v>3375</v>
      </c>
      <c r="M28" s="7">
        <v>8495</v>
      </c>
      <c r="N28" s="7">
        <v>8570</v>
      </c>
      <c r="O28" s="9">
        <v>0.16719999999999999</v>
      </c>
      <c r="P28" s="9">
        <v>0.1724</v>
      </c>
      <c r="Q28" s="9">
        <v>0.16350000000000001</v>
      </c>
      <c r="R28" s="9">
        <v>0.1792</v>
      </c>
      <c r="S28" s="7">
        <v>75</v>
      </c>
      <c r="T28" s="7">
        <v>3375</v>
      </c>
      <c r="U28" s="7">
        <v>1812</v>
      </c>
      <c r="V28" s="7">
        <v>5120</v>
      </c>
      <c r="W28" s="7">
        <v>440143.32799999998</v>
      </c>
      <c r="X28" s="7">
        <v>2775316.9759999998</v>
      </c>
      <c r="Y28" s="7">
        <v>1145150.0479999899</v>
      </c>
      <c r="Z28" s="7">
        <v>78733.983999999895</v>
      </c>
      <c r="AA28" s="7">
        <v>472626.78399999999</v>
      </c>
      <c r="AB28" s="11">
        <f t="shared" si="0"/>
        <v>102321267</v>
      </c>
    </row>
    <row r="29" spans="1:28" x14ac:dyDescent="0.25">
      <c r="A29" t="str">
        <f t="shared" si="1"/>
        <v>Waihou-Piako</v>
      </c>
      <c r="B29" t="str">
        <f t="shared" si="1"/>
        <v>low-uptake</v>
      </c>
      <c r="C29">
        <v>5</v>
      </c>
      <c r="D29" s="11">
        <v>715813697</v>
      </c>
      <c r="E29" s="11">
        <v>614854389</v>
      </c>
      <c r="F29" s="11">
        <v>200254123</v>
      </c>
      <c r="G29" s="7">
        <v>1579</v>
      </c>
      <c r="H29" s="7">
        <v>667</v>
      </c>
      <c r="I29" s="7">
        <v>1676</v>
      </c>
      <c r="J29" s="7">
        <v>1701</v>
      </c>
      <c r="K29" s="7">
        <v>8499</v>
      </c>
      <c r="L29" s="7">
        <v>3335</v>
      </c>
      <c r="M29" s="7">
        <v>8422</v>
      </c>
      <c r="N29" s="7">
        <v>8499</v>
      </c>
      <c r="O29" s="9">
        <v>0.18579999999999999</v>
      </c>
      <c r="P29" s="9">
        <v>0.2</v>
      </c>
      <c r="Q29" s="9">
        <v>0.19900000000000001</v>
      </c>
      <c r="R29" s="9">
        <v>0.2001</v>
      </c>
      <c r="S29" s="7">
        <v>77</v>
      </c>
      <c r="T29" s="7">
        <v>3335</v>
      </c>
      <c r="U29" s="7">
        <v>1883</v>
      </c>
      <c r="V29" s="7">
        <v>5087</v>
      </c>
      <c r="W29" s="7">
        <v>415527.36</v>
      </c>
      <c r="X29" s="7">
        <v>2700109.216</v>
      </c>
      <c r="Y29" s="7">
        <v>1089914.5759999999</v>
      </c>
      <c r="Z29" s="7">
        <v>76260.9920000001</v>
      </c>
      <c r="AA29" s="7">
        <v>452554.46399999998</v>
      </c>
      <c r="AB29" s="11">
        <f t="shared" si="0"/>
        <v>100959308</v>
      </c>
    </row>
    <row r="30" spans="1:28" x14ac:dyDescent="0.25">
      <c r="A30" t="str">
        <f t="shared" si="1"/>
        <v>Waihou-Piako</v>
      </c>
      <c r="B30" t="str">
        <f t="shared" si="1"/>
        <v>low-uptake</v>
      </c>
      <c r="C30">
        <v>6</v>
      </c>
      <c r="D30" s="11">
        <v>714077300</v>
      </c>
      <c r="E30" s="11">
        <v>613001288</v>
      </c>
      <c r="F30" s="11">
        <v>197498943</v>
      </c>
      <c r="G30" s="7">
        <v>1689</v>
      </c>
      <c r="H30" s="7">
        <v>712</v>
      </c>
      <c r="I30" s="7">
        <v>1720</v>
      </c>
      <c r="J30" s="7">
        <v>1862</v>
      </c>
      <c r="K30" s="7">
        <v>8388</v>
      </c>
      <c r="L30" s="7">
        <v>3284</v>
      </c>
      <c r="M30" s="7">
        <v>8313</v>
      </c>
      <c r="N30" s="7">
        <v>8388</v>
      </c>
      <c r="O30" s="9">
        <v>0.2014</v>
      </c>
      <c r="P30" s="9">
        <v>0.21679999999999999</v>
      </c>
      <c r="Q30" s="9">
        <v>0.2069</v>
      </c>
      <c r="R30" s="9">
        <v>0.222</v>
      </c>
      <c r="S30" s="7">
        <v>75</v>
      </c>
      <c r="T30" s="7">
        <v>3284</v>
      </c>
      <c r="U30" s="7">
        <v>1994</v>
      </c>
      <c r="V30" s="7">
        <v>5029</v>
      </c>
      <c r="W30" s="7">
        <v>390069.52</v>
      </c>
      <c r="X30" s="7">
        <v>2642542.1759999902</v>
      </c>
      <c r="Y30" s="7">
        <v>1011124.464</v>
      </c>
      <c r="Z30" s="7">
        <v>73886.639999999898</v>
      </c>
      <c r="AA30" s="7">
        <v>437171.93599999999</v>
      </c>
      <c r="AB30" s="11">
        <f t="shared" si="0"/>
        <v>101076012</v>
      </c>
    </row>
    <row r="31" spans="1:28" x14ac:dyDescent="0.25">
      <c r="A31" t="str">
        <f t="shared" si="1"/>
        <v>Waihou-Piako</v>
      </c>
      <c r="B31" t="str">
        <f t="shared" si="1"/>
        <v>low-uptake</v>
      </c>
      <c r="C31">
        <v>7</v>
      </c>
      <c r="D31" s="11">
        <v>712121206</v>
      </c>
      <c r="E31" s="11">
        <v>613156304</v>
      </c>
      <c r="F31" s="11">
        <v>206122504</v>
      </c>
      <c r="G31" s="7">
        <v>1806</v>
      </c>
      <c r="H31" s="7">
        <v>731</v>
      </c>
      <c r="I31" s="7">
        <v>1801</v>
      </c>
      <c r="J31" s="7">
        <v>2004</v>
      </c>
      <c r="K31" s="7">
        <v>8262</v>
      </c>
      <c r="L31" s="7">
        <v>3218</v>
      </c>
      <c r="M31" s="7">
        <v>8185</v>
      </c>
      <c r="N31" s="7">
        <v>8262</v>
      </c>
      <c r="O31" s="9">
        <v>0.21859999999999999</v>
      </c>
      <c r="P31" s="9">
        <v>0.22720000000000001</v>
      </c>
      <c r="Q31" s="9">
        <v>0.22</v>
      </c>
      <c r="R31" s="9">
        <v>0.24260000000000001</v>
      </c>
      <c r="S31" s="7">
        <v>77</v>
      </c>
      <c r="T31" s="7">
        <v>3218</v>
      </c>
      <c r="U31" s="7">
        <v>2120</v>
      </c>
      <c r="V31" s="7">
        <v>4967</v>
      </c>
      <c r="W31" s="7">
        <v>353764.86399999901</v>
      </c>
      <c r="X31" s="7">
        <v>2569555.3759999899</v>
      </c>
      <c r="Y31" s="7">
        <v>968989.92</v>
      </c>
      <c r="Z31" s="7">
        <v>71766.687999999995</v>
      </c>
      <c r="AA31" s="7">
        <v>419711.90400000103</v>
      </c>
      <c r="AB31" s="11">
        <f t="shared" si="0"/>
        <v>98964902</v>
      </c>
    </row>
    <row r="32" spans="1:28" x14ac:dyDescent="0.25">
      <c r="A32" t="str">
        <f t="shared" si="1"/>
        <v>Waihou-Piako</v>
      </c>
      <c r="B32" t="str">
        <f t="shared" si="1"/>
        <v>low-uptake</v>
      </c>
      <c r="C32">
        <v>8</v>
      </c>
      <c r="D32" s="11">
        <v>709392843</v>
      </c>
      <c r="E32" s="11">
        <v>610614061</v>
      </c>
      <c r="F32" s="11">
        <v>205984907</v>
      </c>
      <c r="G32" s="7">
        <v>1885</v>
      </c>
      <c r="H32" s="7">
        <v>784</v>
      </c>
      <c r="I32" s="7">
        <v>1911</v>
      </c>
      <c r="J32" s="7">
        <v>2093</v>
      </c>
      <c r="K32" s="7">
        <v>8182</v>
      </c>
      <c r="L32" s="7">
        <v>3166</v>
      </c>
      <c r="M32" s="7">
        <v>8092</v>
      </c>
      <c r="N32" s="7">
        <v>8182</v>
      </c>
      <c r="O32" s="9">
        <v>0.23039999999999999</v>
      </c>
      <c r="P32" s="9">
        <v>0.24759999999999999</v>
      </c>
      <c r="Q32" s="9">
        <v>0.23619999999999999</v>
      </c>
      <c r="R32" s="9">
        <v>0.25580000000000003</v>
      </c>
      <c r="S32" s="7">
        <v>90</v>
      </c>
      <c r="T32" s="7">
        <v>3166</v>
      </c>
      <c r="U32" s="7">
        <v>2200</v>
      </c>
      <c r="V32" s="7">
        <v>4926</v>
      </c>
      <c r="W32" s="7">
        <v>308853.58399999997</v>
      </c>
      <c r="X32" s="7">
        <v>2481681.2799999998</v>
      </c>
      <c r="Y32" s="7">
        <v>933364.95999999903</v>
      </c>
      <c r="Z32" s="7">
        <v>69166.464000000095</v>
      </c>
      <c r="AA32" s="7">
        <v>404197.66399999999</v>
      </c>
      <c r="AB32" s="11">
        <f t="shared" si="0"/>
        <v>98778782</v>
      </c>
    </row>
    <row r="33" spans="1:28" x14ac:dyDescent="0.25">
      <c r="A33" t="str">
        <f t="shared" si="1"/>
        <v>Waihou-Piako</v>
      </c>
      <c r="B33" t="str">
        <f t="shared" si="1"/>
        <v>low-uptake</v>
      </c>
      <c r="C33">
        <v>9</v>
      </c>
      <c r="D33" s="11">
        <v>706752617</v>
      </c>
      <c r="E33" s="11">
        <v>608950529</v>
      </c>
      <c r="F33" s="11">
        <v>197733432</v>
      </c>
      <c r="G33" s="7">
        <v>1911</v>
      </c>
      <c r="H33" s="7">
        <v>809</v>
      </c>
      <c r="I33" s="7">
        <v>1935</v>
      </c>
      <c r="J33" s="7">
        <v>2282</v>
      </c>
      <c r="K33" s="7">
        <v>8056</v>
      </c>
      <c r="L33" s="7">
        <v>3107</v>
      </c>
      <c r="M33" s="7">
        <v>7963</v>
      </c>
      <c r="N33" s="7">
        <v>8056</v>
      </c>
      <c r="O33" s="9">
        <v>0.23719999999999999</v>
      </c>
      <c r="P33" s="9">
        <v>0.26040000000000002</v>
      </c>
      <c r="Q33" s="9">
        <v>0.24299999999999999</v>
      </c>
      <c r="R33" s="9">
        <v>0.2833</v>
      </c>
      <c r="S33" s="7">
        <v>93</v>
      </c>
      <c r="T33" s="7">
        <v>3107</v>
      </c>
      <c r="U33" s="7">
        <v>2326</v>
      </c>
      <c r="V33" s="7">
        <v>4856</v>
      </c>
      <c r="W33" s="7">
        <v>279883.23200000002</v>
      </c>
      <c r="X33" s="7">
        <v>2436532.1439999901</v>
      </c>
      <c r="Y33" s="7">
        <v>897032.76800000004</v>
      </c>
      <c r="Z33" s="7">
        <v>67610.767999999996</v>
      </c>
      <c r="AA33" s="7">
        <v>391121.10399999999</v>
      </c>
      <c r="AB33" s="11">
        <f t="shared" si="0"/>
        <v>97802088</v>
      </c>
    </row>
    <row r="34" spans="1:28" x14ac:dyDescent="0.25">
      <c r="A34" s="5" t="str">
        <f t="shared" si="1"/>
        <v>Waihou-Piako</v>
      </c>
      <c r="B34" s="5" t="str">
        <f t="shared" si="1"/>
        <v>low-uptake</v>
      </c>
      <c r="C34" s="5">
        <v>10</v>
      </c>
      <c r="D34" s="12">
        <v>706108710</v>
      </c>
      <c r="E34" s="12">
        <v>607581579</v>
      </c>
      <c r="F34" s="12">
        <v>193686726</v>
      </c>
      <c r="G34" s="8">
        <v>1965</v>
      </c>
      <c r="H34" s="8">
        <v>833</v>
      </c>
      <c r="I34" s="8">
        <v>1997</v>
      </c>
      <c r="J34" s="8">
        <v>2332</v>
      </c>
      <c r="K34" s="8">
        <v>7924</v>
      </c>
      <c r="L34" s="8">
        <v>3028</v>
      </c>
      <c r="M34" s="8">
        <v>7812</v>
      </c>
      <c r="N34" s="8">
        <v>7924</v>
      </c>
      <c r="O34" s="10">
        <v>0.248</v>
      </c>
      <c r="P34" s="10">
        <v>0.27510000000000001</v>
      </c>
      <c r="Q34" s="10">
        <v>0.25559999999999999</v>
      </c>
      <c r="R34" s="10">
        <v>0.29430000000000001</v>
      </c>
      <c r="S34" s="8">
        <v>112</v>
      </c>
      <c r="T34" s="8">
        <v>3028</v>
      </c>
      <c r="U34" s="8">
        <v>2458</v>
      </c>
      <c r="V34" s="8">
        <v>4784</v>
      </c>
      <c r="W34" s="8">
        <v>238790.864</v>
      </c>
      <c r="X34" s="8">
        <v>2372434.8480000002</v>
      </c>
      <c r="Y34" s="8">
        <v>866163.79200000002</v>
      </c>
      <c r="Z34" s="8">
        <v>65883.520000000004</v>
      </c>
      <c r="AA34" s="8">
        <v>375329.82400000002</v>
      </c>
      <c r="AB34" s="12">
        <f t="shared" si="0"/>
        <v>98527131</v>
      </c>
    </row>
    <row r="35" spans="1:28" x14ac:dyDescent="0.25">
      <c r="A35" t="str">
        <f t="shared" si="1"/>
        <v>Waihou-Piako</v>
      </c>
      <c r="B35" t="str">
        <f>[1]Scenario!E2</f>
        <v>low-tech-change</v>
      </c>
      <c r="C35">
        <v>0</v>
      </c>
      <c r="D35" s="11">
        <v>718336707</v>
      </c>
      <c r="E35" s="11">
        <v>616071747</v>
      </c>
      <c r="F35" s="11">
        <v>200078113</v>
      </c>
      <c r="G35" s="7">
        <v>1020</v>
      </c>
      <c r="H35" s="7">
        <v>381</v>
      </c>
      <c r="I35" s="7">
        <v>934</v>
      </c>
      <c r="J35" s="7">
        <v>983</v>
      </c>
      <c r="K35" s="7">
        <v>9068</v>
      </c>
      <c r="L35" s="7">
        <v>3558</v>
      </c>
      <c r="M35" s="7">
        <v>9000</v>
      </c>
      <c r="N35" s="7">
        <v>9068</v>
      </c>
      <c r="O35" s="9">
        <v>0.1125</v>
      </c>
      <c r="P35" s="9">
        <v>0.1071</v>
      </c>
      <c r="Q35" s="9">
        <v>0.1038</v>
      </c>
      <c r="R35" s="9">
        <v>0.1084</v>
      </c>
      <c r="S35" s="7">
        <v>68</v>
      </c>
      <c r="T35" s="7">
        <v>3558</v>
      </c>
      <c r="U35" s="7">
        <v>1314</v>
      </c>
      <c r="V35" s="7">
        <v>5442</v>
      </c>
      <c r="W35" s="7">
        <v>573476.255999999</v>
      </c>
      <c r="X35" s="7">
        <v>2966620.6879999898</v>
      </c>
      <c r="Y35" s="7">
        <v>1285647.4239999901</v>
      </c>
      <c r="Z35" s="7">
        <v>85011.712</v>
      </c>
      <c r="AA35" s="7">
        <v>523229.087999999</v>
      </c>
      <c r="AB35" s="11">
        <f t="shared" si="0"/>
        <v>102264960</v>
      </c>
    </row>
    <row r="36" spans="1:28" x14ac:dyDescent="0.25">
      <c r="A36" t="str">
        <f t="shared" si="1"/>
        <v>Waihou-Piako</v>
      </c>
      <c r="B36" t="str">
        <f>B35</f>
        <v>low-tech-change</v>
      </c>
      <c r="C36">
        <v>1</v>
      </c>
      <c r="D36" s="11">
        <v>718882591</v>
      </c>
      <c r="E36" s="11">
        <v>615978889</v>
      </c>
      <c r="F36" s="11">
        <v>241774176</v>
      </c>
      <c r="G36" s="7">
        <v>1415</v>
      </c>
      <c r="H36" s="7">
        <v>595</v>
      </c>
      <c r="I36" s="7">
        <v>1351</v>
      </c>
      <c r="J36" s="7">
        <v>1411</v>
      </c>
      <c r="K36" s="7">
        <v>8761</v>
      </c>
      <c r="L36" s="7">
        <v>3441</v>
      </c>
      <c r="M36" s="7">
        <v>8682</v>
      </c>
      <c r="N36" s="7">
        <v>8761</v>
      </c>
      <c r="O36" s="9">
        <v>0.1615</v>
      </c>
      <c r="P36" s="9">
        <v>0.1729</v>
      </c>
      <c r="Q36" s="9">
        <v>0.15559999999999999</v>
      </c>
      <c r="R36" s="9">
        <v>0.16109999999999999</v>
      </c>
      <c r="S36" s="7">
        <v>79</v>
      </c>
      <c r="T36" s="7">
        <v>3441</v>
      </c>
      <c r="U36" s="7">
        <v>1621</v>
      </c>
      <c r="V36" s="7">
        <v>5241</v>
      </c>
      <c r="W36" s="7">
        <v>573688.81600000104</v>
      </c>
      <c r="X36" s="7">
        <v>2967115.7439999999</v>
      </c>
      <c r="Y36" s="7">
        <v>1284754.656</v>
      </c>
      <c r="Z36" s="7">
        <v>84952.815999999904</v>
      </c>
      <c r="AA36" s="7">
        <v>523171.26400000002</v>
      </c>
      <c r="AB36" s="11">
        <f t="shared" si="0"/>
        <v>102903702</v>
      </c>
    </row>
    <row r="37" spans="1:28" x14ac:dyDescent="0.25">
      <c r="A37" t="str">
        <f t="shared" si="1"/>
        <v>Waihou-Piako</v>
      </c>
      <c r="B37" t="str">
        <f t="shared" si="1"/>
        <v>low-tech-change</v>
      </c>
      <c r="C37">
        <v>2</v>
      </c>
      <c r="D37" s="11">
        <v>644760685</v>
      </c>
      <c r="E37" s="11">
        <v>615312997</v>
      </c>
      <c r="F37" s="11">
        <v>162343643</v>
      </c>
      <c r="G37" s="7">
        <v>1694</v>
      </c>
      <c r="H37" s="7">
        <v>710</v>
      </c>
      <c r="I37" s="7">
        <v>1637</v>
      </c>
      <c r="J37" s="7">
        <v>1644</v>
      </c>
      <c r="K37" s="7">
        <v>8576</v>
      </c>
      <c r="L37" s="7">
        <v>3338</v>
      </c>
      <c r="M37" s="7">
        <v>8492</v>
      </c>
      <c r="N37" s="7">
        <v>8576</v>
      </c>
      <c r="O37" s="9">
        <v>0.19750000000000001</v>
      </c>
      <c r="P37" s="9">
        <v>0.2127</v>
      </c>
      <c r="Q37" s="9">
        <v>0.1928</v>
      </c>
      <c r="R37" s="9">
        <v>0.19170000000000001</v>
      </c>
      <c r="S37" s="7">
        <v>84</v>
      </c>
      <c r="T37" s="7">
        <v>3338</v>
      </c>
      <c r="U37" s="7">
        <v>1806</v>
      </c>
      <c r="V37" s="7">
        <v>5154</v>
      </c>
      <c r="W37" s="7">
        <v>473558.97600000002</v>
      </c>
      <c r="X37" s="7">
        <v>2770889.6159999999</v>
      </c>
      <c r="Y37" s="7">
        <v>1128166.784</v>
      </c>
      <c r="Z37" s="7">
        <v>77986.047999999893</v>
      </c>
      <c r="AA37" s="7">
        <v>470136.25599999999</v>
      </c>
      <c r="AB37" s="11">
        <f t="shared" si="0"/>
        <v>29447688</v>
      </c>
    </row>
    <row r="38" spans="1:28" x14ac:dyDescent="0.25">
      <c r="A38" t="str">
        <f t="shared" si="1"/>
        <v>Waihou-Piako</v>
      </c>
      <c r="B38" t="str">
        <f t="shared" si="1"/>
        <v>low-tech-change</v>
      </c>
      <c r="C38">
        <v>3</v>
      </c>
      <c r="D38" s="11">
        <v>640412028</v>
      </c>
      <c r="E38" s="11">
        <v>611546445</v>
      </c>
      <c r="F38" s="11">
        <v>127717813</v>
      </c>
      <c r="G38" s="7">
        <v>1963</v>
      </c>
      <c r="H38" s="7">
        <v>833</v>
      </c>
      <c r="I38" s="7">
        <v>1861</v>
      </c>
      <c r="J38" s="7">
        <v>1864</v>
      </c>
      <c r="K38" s="7">
        <v>8250</v>
      </c>
      <c r="L38" s="7">
        <v>3195</v>
      </c>
      <c r="M38" s="7">
        <v>8142</v>
      </c>
      <c r="N38" s="7">
        <v>8250</v>
      </c>
      <c r="O38" s="9">
        <v>0.2379</v>
      </c>
      <c r="P38" s="9">
        <v>0.26069999999999999</v>
      </c>
      <c r="Q38" s="9">
        <v>0.2286</v>
      </c>
      <c r="R38" s="9">
        <v>0.22589999999999999</v>
      </c>
      <c r="S38" s="7">
        <v>108</v>
      </c>
      <c r="T38" s="7">
        <v>3195</v>
      </c>
      <c r="U38" s="7">
        <v>2132</v>
      </c>
      <c r="V38" s="7">
        <v>4947</v>
      </c>
      <c r="W38" s="7">
        <v>408328.65599999903</v>
      </c>
      <c r="X38" s="7">
        <v>2659281.04</v>
      </c>
      <c r="Y38" s="7">
        <v>1032743.39199999</v>
      </c>
      <c r="Z38" s="7">
        <v>73878.911999999895</v>
      </c>
      <c r="AA38" s="7">
        <v>438391.2</v>
      </c>
      <c r="AB38" s="11">
        <f t="shared" si="0"/>
        <v>28865583</v>
      </c>
    </row>
    <row r="39" spans="1:28" x14ac:dyDescent="0.25">
      <c r="A39" t="str">
        <f t="shared" si="1"/>
        <v>Waihou-Piako</v>
      </c>
      <c r="B39" t="str">
        <f t="shared" si="1"/>
        <v>low-tech-change</v>
      </c>
      <c r="C39">
        <v>4</v>
      </c>
      <c r="D39" s="11">
        <v>637833197</v>
      </c>
      <c r="E39" s="11">
        <v>609655879</v>
      </c>
      <c r="F39" s="11">
        <v>93961790</v>
      </c>
      <c r="G39" s="7">
        <v>2148</v>
      </c>
      <c r="H39" s="7">
        <v>949</v>
      </c>
      <c r="I39" s="7">
        <v>2031</v>
      </c>
      <c r="J39" s="7">
        <v>2187</v>
      </c>
      <c r="K39" s="7">
        <v>8035</v>
      </c>
      <c r="L39" s="7">
        <v>3106</v>
      </c>
      <c r="M39" s="7">
        <v>7874</v>
      </c>
      <c r="N39" s="7">
        <v>8035</v>
      </c>
      <c r="O39" s="9">
        <v>0.26729999999999998</v>
      </c>
      <c r="P39" s="9">
        <v>0.30549999999999999</v>
      </c>
      <c r="Q39" s="9">
        <v>0.25790000000000002</v>
      </c>
      <c r="R39" s="9">
        <v>0.2722</v>
      </c>
      <c r="S39" s="7">
        <v>161</v>
      </c>
      <c r="T39" s="7">
        <v>3106</v>
      </c>
      <c r="U39" s="7">
        <v>2347</v>
      </c>
      <c r="V39" s="7">
        <v>4768</v>
      </c>
      <c r="W39" s="7">
        <v>302625.424</v>
      </c>
      <c r="X39" s="7">
        <v>2503678.64</v>
      </c>
      <c r="Y39" s="7">
        <v>931454.03199999896</v>
      </c>
      <c r="Z39" s="7">
        <v>68923.167999999903</v>
      </c>
      <c r="AA39" s="7">
        <v>398312.55999999901</v>
      </c>
      <c r="AB39" s="11">
        <f t="shared" si="0"/>
        <v>28177318</v>
      </c>
    </row>
    <row r="40" spans="1:28" x14ac:dyDescent="0.25">
      <c r="A40" t="str">
        <f t="shared" si="1"/>
        <v>Waihou-Piako</v>
      </c>
      <c r="B40" t="str">
        <f t="shared" si="1"/>
        <v>low-tech-change</v>
      </c>
      <c r="C40">
        <v>5</v>
      </c>
      <c r="D40" s="11">
        <v>637573781</v>
      </c>
      <c r="E40" s="11">
        <v>610708274</v>
      </c>
      <c r="F40" s="11">
        <v>76344641</v>
      </c>
      <c r="G40" s="7">
        <v>2342</v>
      </c>
      <c r="H40" s="7">
        <v>1084</v>
      </c>
      <c r="I40" s="7">
        <v>2234</v>
      </c>
      <c r="J40" s="7">
        <v>2343</v>
      </c>
      <c r="K40" s="7">
        <v>7787</v>
      </c>
      <c r="L40" s="7">
        <v>3033</v>
      </c>
      <c r="M40" s="7">
        <v>7600</v>
      </c>
      <c r="N40" s="7">
        <v>7787</v>
      </c>
      <c r="O40" s="9">
        <v>0.30080000000000001</v>
      </c>
      <c r="P40" s="9">
        <v>0.3574</v>
      </c>
      <c r="Q40" s="9">
        <v>0.29389999999999999</v>
      </c>
      <c r="R40" s="9">
        <v>0.3009</v>
      </c>
      <c r="S40" s="7">
        <v>187</v>
      </c>
      <c r="T40" s="7">
        <v>3033</v>
      </c>
      <c r="U40" s="7">
        <v>2595</v>
      </c>
      <c r="V40" s="7">
        <v>4567</v>
      </c>
      <c r="W40" s="7">
        <v>232467.32800000001</v>
      </c>
      <c r="X40" s="7">
        <v>2363995.3119999901</v>
      </c>
      <c r="Y40" s="7">
        <v>858577.58399999805</v>
      </c>
      <c r="Z40" s="7">
        <v>64459.199999999903</v>
      </c>
      <c r="AA40" s="7">
        <v>365195.02399999899</v>
      </c>
      <c r="AB40" s="11">
        <f t="shared" si="0"/>
        <v>26865507</v>
      </c>
    </row>
    <row r="41" spans="1:28" x14ac:dyDescent="0.25">
      <c r="A41" t="str">
        <f t="shared" si="1"/>
        <v>Waihou-Piako</v>
      </c>
      <c r="B41" t="str">
        <f t="shared" si="1"/>
        <v>low-tech-change</v>
      </c>
      <c r="C41">
        <v>6</v>
      </c>
      <c r="D41" s="11">
        <v>639354733</v>
      </c>
      <c r="E41" s="11">
        <v>612278415</v>
      </c>
      <c r="F41" s="11">
        <v>79943821</v>
      </c>
      <c r="G41" s="7">
        <v>2632</v>
      </c>
      <c r="H41" s="7">
        <v>1214</v>
      </c>
      <c r="I41" s="7">
        <v>2469</v>
      </c>
      <c r="J41" s="7">
        <v>2595</v>
      </c>
      <c r="K41" s="7">
        <v>7614</v>
      </c>
      <c r="L41" s="7">
        <v>2947</v>
      </c>
      <c r="M41" s="7">
        <v>7402</v>
      </c>
      <c r="N41" s="7">
        <v>7614</v>
      </c>
      <c r="O41" s="9">
        <v>0.34570000000000001</v>
      </c>
      <c r="P41" s="9">
        <v>0.41189999999999999</v>
      </c>
      <c r="Q41" s="9">
        <v>0.33360000000000001</v>
      </c>
      <c r="R41" s="9">
        <v>0.34079999999999999</v>
      </c>
      <c r="S41" s="7">
        <v>212</v>
      </c>
      <c r="T41" s="7">
        <v>2947</v>
      </c>
      <c r="U41" s="7">
        <v>2768</v>
      </c>
      <c r="V41" s="7">
        <v>4455</v>
      </c>
      <c r="W41" s="7">
        <v>155498.079999999</v>
      </c>
      <c r="X41" s="7">
        <v>2262949.9040000001</v>
      </c>
      <c r="Y41" s="7">
        <v>794672.68799999903</v>
      </c>
      <c r="Z41" s="7">
        <v>61029.072</v>
      </c>
      <c r="AA41" s="7">
        <v>334430.03199999902</v>
      </c>
      <c r="AB41" s="11">
        <f t="shared" si="0"/>
        <v>27076318</v>
      </c>
    </row>
    <row r="42" spans="1:28" x14ac:dyDescent="0.25">
      <c r="A42" t="str">
        <f t="shared" si="1"/>
        <v>Waihou-Piako</v>
      </c>
      <c r="B42" t="str">
        <f t="shared" si="1"/>
        <v>low-tech-change</v>
      </c>
      <c r="C42">
        <v>7</v>
      </c>
      <c r="D42" s="11">
        <v>637329316</v>
      </c>
      <c r="E42" s="11">
        <v>611193100</v>
      </c>
      <c r="F42" s="11">
        <v>77763524</v>
      </c>
      <c r="G42" s="7">
        <v>2835</v>
      </c>
      <c r="H42" s="7">
        <v>1332</v>
      </c>
      <c r="I42" s="7">
        <v>2926</v>
      </c>
      <c r="J42" s="7">
        <v>2957</v>
      </c>
      <c r="K42" s="7">
        <v>7477</v>
      </c>
      <c r="L42" s="7">
        <v>2884</v>
      </c>
      <c r="M42" s="7">
        <v>7253</v>
      </c>
      <c r="N42" s="7">
        <v>7477</v>
      </c>
      <c r="O42" s="9">
        <v>0.37919999999999998</v>
      </c>
      <c r="P42" s="9">
        <v>0.46189999999999998</v>
      </c>
      <c r="Q42" s="9">
        <v>0.40339999999999998</v>
      </c>
      <c r="R42" s="9">
        <v>0.39550000000000002</v>
      </c>
      <c r="S42" s="7">
        <v>224</v>
      </c>
      <c r="T42" s="7">
        <v>2884</v>
      </c>
      <c r="U42" s="7">
        <v>2905</v>
      </c>
      <c r="V42" s="7">
        <v>4369</v>
      </c>
      <c r="W42" s="7">
        <v>97942.512000000002</v>
      </c>
      <c r="X42" s="7">
        <v>2145630.16</v>
      </c>
      <c r="Y42" s="7">
        <v>721283.48800000094</v>
      </c>
      <c r="Z42" s="7">
        <v>57104.416000000201</v>
      </c>
      <c r="AA42" s="7">
        <v>305619.00799999997</v>
      </c>
      <c r="AB42" s="11">
        <f t="shared" si="0"/>
        <v>26136216</v>
      </c>
    </row>
    <row r="43" spans="1:28" x14ac:dyDescent="0.25">
      <c r="A43" t="str">
        <f t="shared" si="1"/>
        <v>Waihou-Piako</v>
      </c>
      <c r="B43" t="str">
        <f t="shared" si="1"/>
        <v>low-tech-change</v>
      </c>
      <c r="C43">
        <v>8</v>
      </c>
      <c r="D43" s="11">
        <v>634671176</v>
      </c>
      <c r="E43" s="11">
        <v>609909688</v>
      </c>
      <c r="F43" s="11">
        <v>94027436</v>
      </c>
      <c r="G43" s="7">
        <v>2988</v>
      </c>
      <c r="H43" s="7">
        <v>1406</v>
      </c>
      <c r="I43" s="7">
        <v>3171</v>
      </c>
      <c r="J43" s="7">
        <v>3116</v>
      </c>
      <c r="K43" s="7">
        <v>7220</v>
      </c>
      <c r="L43" s="7">
        <v>2752</v>
      </c>
      <c r="M43" s="7">
        <v>7021</v>
      </c>
      <c r="N43" s="7">
        <v>7220</v>
      </c>
      <c r="O43" s="9">
        <v>0.41389999999999999</v>
      </c>
      <c r="P43" s="9">
        <v>0.51090000000000002</v>
      </c>
      <c r="Q43" s="9">
        <v>0.4516</v>
      </c>
      <c r="R43" s="9">
        <v>0.43159999999999998</v>
      </c>
      <c r="S43" s="7">
        <v>199</v>
      </c>
      <c r="T43" s="7">
        <v>2752</v>
      </c>
      <c r="U43" s="7">
        <v>3162</v>
      </c>
      <c r="V43" s="7">
        <v>4269</v>
      </c>
      <c r="W43" s="7">
        <v>48673.712</v>
      </c>
      <c r="X43" s="7">
        <v>2021836.7520000001</v>
      </c>
      <c r="Y43" s="7">
        <v>614804.33599999896</v>
      </c>
      <c r="Z43" s="7">
        <v>53042.431999999899</v>
      </c>
      <c r="AA43" s="7">
        <v>278201.39199999999</v>
      </c>
      <c r="AB43" s="11">
        <f t="shared" si="0"/>
        <v>24761488</v>
      </c>
    </row>
    <row r="44" spans="1:28" x14ac:dyDescent="0.25">
      <c r="A44" t="str">
        <f t="shared" si="1"/>
        <v>Waihou-Piako</v>
      </c>
      <c r="B44" t="str">
        <f t="shared" si="1"/>
        <v>low-tech-change</v>
      </c>
      <c r="C44">
        <v>9</v>
      </c>
      <c r="D44" s="11">
        <v>630418544</v>
      </c>
      <c r="E44" s="11">
        <v>607516089</v>
      </c>
      <c r="F44" s="11">
        <v>89206937</v>
      </c>
      <c r="G44" s="7">
        <v>3112</v>
      </c>
      <c r="H44" s="7">
        <v>1433</v>
      </c>
      <c r="I44" s="7">
        <v>3332</v>
      </c>
      <c r="J44" s="7">
        <v>3202</v>
      </c>
      <c r="K44" s="7">
        <v>6985</v>
      </c>
      <c r="L44" s="7">
        <v>2671</v>
      </c>
      <c r="M44" s="7">
        <v>6757</v>
      </c>
      <c r="N44" s="7">
        <v>6985</v>
      </c>
      <c r="O44" s="9">
        <v>0.44550000000000001</v>
      </c>
      <c r="P44" s="9">
        <v>0.53649999999999998</v>
      </c>
      <c r="Q44" s="9">
        <v>0.49309999999999998</v>
      </c>
      <c r="R44" s="9">
        <v>0.45839999999999997</v>
      </c>
      <c r="S44" s="7">
        <v>228</v>
      </c>
      <c r="T44" s="7">
        <v>2671</v>
      </c>
      <c r="U44" s="7">
        <v>3397</v>
      </c>
      <c r="V44" s="7">
        <v>4086</v>
      </c>
      <c r="W44" s="7">
        <v>-36575.392</v>
      </c>
      <c r="X44" s="7">
        <v>1890303.0559999901</v>
      </c>
      <c r="Y44" s="7">
        <v>567747.36</v>
      </c>
      <c r="Z44" s="7">
        <v>50014.8480000001</v>
      </c>
      <c r="AA44" s="7">
        <v>256064.959999999</v>
      </c>
      <c r="AB44" s="11">
        <f t="shared" si="0"/>
        <v>22902455</v>
      </c>
    </row>
    <row r="45" spans="1:28" x14ac:dyDescent="0.25">
      <c r="A45" s="5" t="str">
        <f t="shared" si="1"/>
        <v>Waihou-Piako</v>
      </c>
      <c r="B45" s="5" t="str">
        <f t="shared" si="1"/>
        <v>low-tech-change</v>
      </c>
      <c r="C45" s="5">
        <v>10</v>
      </c>
      <c r="D45" s="12">
        <v>631936192</v>
      </c>
      <c r="E45" s="12">
        <v>608233220</v>
      </c>
      <c r="F45" s="12">
        <v>80439643</v>
      </c>
      <c r="G45" s="8">
        <v>3336</v>
      </c>
      <c r="H45" s="8">
        <v>1514</v>
      </c>
      <c r="I45" s="8">
        <v>3441</v>
      </c>
      <c r="J45" s="8">
        <v>3324</v>
      </c>
      <c r="K45" s="8">
        <v>6882</v>
      </c>
      <c r="L45" s="8">
        <v>2646</v>
      </c>
      <c r="M45" s="8">
        <v>6652</v>
      </c>
      <c r="N45" s="8">
        <v>6882</v>
      </c>
      <c r="O45" s="10">
        <v>0.48470000000000002</v>
      </c>
      <c r="P45" s="10">
        <v>0.57220000000000004</v>
      </c>
      <c r="Q45" s="10">
        <v>0.51729999999999998</v>
      </c>
      <c r="R45" s="10">
        <v>0.48299999999999998</v>
      </c>
      <c r="S45" s="8">
        <v>230</v>
      </c>
      <c r="T45" s="8">
        <v>2646</v>
      </c>
      <c r="U45" s="8">
        <v>3500</v>
      </c>
      <c r="V45" s="8">
        <v>4006</v>
      </c>
      <c r="W45" s="8">
        <v>-107574.015999999</v>
      </c>
      <c r="X45" s="8">
        <v>1809544.8319999999</v>
      </c>
      <c r="Y45" s="8">
        <v>519441.00799999898</v>
      </c>
      <c r="Z45" s="8">
        <v>47875.631999999903</v>
      </c>
      <c r="AA45" s="8">
        <v>237805.37599999999</v>
      </c>
      <c r="AB45" s="12">
        <f t="shared" si="0"/>
        <v>23702972</v>
      </c>
    </row>
    <row r="46" spans="1:28" x14ac:dyDescent="0.25">
      <c r="A46" t="str">
        <f t="shared" si="1"/>
        <v>Waihou-Piako</v>
      </c>
      <c r="B46" t="str">
        <f>[1]Scenario!F2</f>
        <v>farm-plan-only</v>
      </c>
      <c r="C46">
        <v>0</v>
      </c>
      <c r="D46" s="11">
        <v>718336707</v>
      </c>
      <c r="E46" s="11">
        <v>616071747</v>
      </c>
      <c r="F46" s="11">
        <v>200078113</v>
      </c>
      <c r="G46" s="7">
        <v>1020</v>
      </c>
      <c r="H46" s="7">
        <v>381</v>
      </c>
      <c r="I46" s="7">
        <v>934</v>
      </c>
      <c r="J46" s="7">
        <v>983</v>
      </c>
      <c r="K46" s="7">
        <v>9068</v>
      </c>
      <c r="L46" s="7">
        <v>3558</v>
      </c>
      <c r="M46" s="7">
        <v>9000</v>
      </c>
      <c r="N46" s="7">
        <v>9068</v>
      </c>
      <c r="O46" s="9">
        <v>0.1125</v>
      </c>
      <c r="P46" s="9">
        <v>0.1071</v>
      </c>
      <c r="Q46" s="9">
        <v>0.1038</v>
      </c>
      <c r="R46" s="9">
        <v>0.1084</v>
      </c>
      <c r="S46" s="7">
        <v>68</v>
      </c>
      <c r="T46" s="7">
        <v>3558</v>
      </c>
      <c r="U46" s="7">
        <v>1314</v>
      </c>
      <c r="V46" s="7">
        <v>5442</v>
      </c>
      <c r="W46" s="7">
        <v>573476.255999999</v>
      </c>
      <c r="X46" s="7">
        <v>2966620.6879999898</v>
      </c>
      <c r="Y46" s="7">
        <v>1285647.4239999901</v>
      </c>
      <c r="Z46" s="7">
        <v>85011.712</v>
      </c>
      <c r="AA46" s="7">
        <v>523229.087999999</v>
      </c>
      <c r="AB46" s="11">
        <f t="shared" si="0"/>
        <v>102264960</v>
      </c>
    </row>
    <row r="47" spans="1:28" x14ac:dyDescent="0.25">
      <c r="A47" t="str">
        <f t="shared" si="1"/>
        <v>Waihou-Piako</v>
      </c>
      <c r="B47" t="str">
        <f>B46</f>
        <v>farm-plan-only</v>
      </c>
      <c r="C47">
        <v>1</v>
      </c>
      <c r="D47" s="11">
        <v>718882591</v>
      </c>
      <c r="E47" s="11">
        <v>615978889</v>
      </c>
      <c r="F47" s="11">
        <v>253050372</v>
      </c>
      <c r="G47" s="7">
        <v>964</v>
      </c>
      <c r="H47" s="7">
        <v>381</v>
      </c>
      <c r="I47" s="7">
        <v>1351</v>
      </c>
      <c r="J47" s="7">
        <v>950</v>
      </c>
      <c r="K47" s="7">
        <v>8761</v>
      </c>
      <c r="L47" s="7">
        <v>3441</v>
      </c>
      <c r="M47" s="7">
        <v>8682</v>
      </c>
      <c r="N47" s="7">
        <v>8761</v>
      </c>
      <c r="O47" s="9">
        <v>0.11</v>
      </c>
      <c r="P47" s="9">
        <v>0.11070000000000001</v>
      </c>
      <c r="Q47" s="9">
        <v>0.15559999999999999</v>
      </c>
      <c r="R47" s="9">
        <v>0.1084</v>
      </c>
      <c r="S47" s="7">
        <v>79</v>
      </c>
      <c r="T47" s="7">
        <v>3441</v>
      </c>
      <c r="U47" s="7">
        <v>1621</v>
      </c>
      <c r="V47" s="7">
        <v>5241</v>
      </c>
      <c r="W47" s="7">
        <v>573688.81600000104</v>
      </c>
      <c r="X47" s="7">
        <v>2967115.7439999902</v>
      </c>
      <c r="Y47" s="7">
        <v>1284754.6559999899</v>
      </c>
      <c r="Z47" s="7">
        <v>84952.816000000006</v>
      </c>
      <c r="AA47" s="7">
        <v>523171.26400000002</v>
      </c>
      <c r="AB47" s="11">
        <f t="shared" si="0"/>
        <v>102903702</v>
      </c>
    </row>
    <row r="48" spans="1:28" x14ac:dyDescent="0.25">
      <c r="A48" t="str">
        <f t="shared" si="1"/>
        <v>Waihou-Piako</v>
      </c>
      <c r="B48" t="str">
        <f t="shared" si="1"/>
        <v>farm-plan-only</v>
      </c>
      <c r="C48">
        <v>2</v>
      </c>
      <c r="D48" s="11">
        <v>718086759</v>
      </c>
      <c r="E48" s="11">
        <v>614750347</v>
      </c>
      <c r="F48" s="11">
        <v>262788721</v>
      </c>
      <c r="G48" s="7">
        <v>929</v>
      </c>
      <c r="H48" s="7">
        <v>366</v>
      </c>
      <c r="I48" s="7">
        <v>1822</v>
      </c>
      <c r="J48" s="7">
        <v>915</v>
      </c>
      <c r="K48" s="7">
        <v>8442</v>
      </c>
      <c r="L48" s="7">
        <v>3298</v>
      </c>
      <c r="M48" s="7">
        <v>8352</v>
      </c>
      <c r="N48" s="7">
        <v>8442</v>
      </c>
      <c r="O48" s="9">
        <v>0.11</v>
      </c>
      <c r="P48" s="9">
        <v>0.111</v>
      </c>
      <c r="Q48" s="9">
        <v>0.21820000000000001</v>
      </c>
      <c r="R48" s="9">
        <v>0.1084</v>
      </c>
      <c r="S48" s="7">
        <v>90</v>
      </c>
      <c r="T48" s="7">
        <v>3298</v>
      </c>
      <c r="U48" s="7">
        <v>1940</v>
      </c>
      <c r="V48" s="7">
        <v>5054</v>
      </c>
      <c r="W48" s="7">
        <v>478429.28</v>
      </c>
      <c r="X48" s="7">
        <v>2881779.45599999</v>
      </c>
      <c r="Y48" s="7">
        <v>1214616.97599999</v>
      </c>
      <c r="Z48" s="7">
        <v>82661.120000000097</v>
      </c>
      <c r="AA48" s="7">
        <v>505612.54399999999</v>
      </c>
      <c r="AB48" s="11">
        <f t="shared" si="0"/>
        <v>103336412</v>
      </c>
    </row>
    <row r="49" spans="1:28" x14ac:dyDescent="0.25">
      <c r="A49" t="str">
        <f t="shared" si="1"/>
        <v>Waihou-Piako</v>
      </c>
      <c r="B49" t="str">
        <f t="shared" si="1"/>
        <v>farm-plan-only</v>
      </c>
      <c r="C49">
        <v>3</v>
      </c>
      <c r="D49" s="11">
        <v>716508715</v>
      </c>
      <c r="E49" s="11">
        <v>611969319</v>
      </c>
      <c r="F49" s="11">
        <v>245075589</v>
      </c>
      <c r="G49" s="7">
        <v>916</v>
      </c>
      <c r="H49" s="7">
        <v>359</v>
      </c>
      <c r="I49" s="7">
        <v>2175</v>
      </c>
      <c r="J49" s="7">
        <v>896</v>
      </c>
      <c r="K49" s="7">
        <v>8294</v>
      </c>
      <c r="L49" s="7">
        <v>3236</v>
      </c>
      <c r="M49" s="7">
        <v>8188</v>
      </c>
      <c r="N49" s="7">
        <v>8294</v>
      </c>
      <c r="O49" s="9">
        <v>0.1104</v>
      </c>
      <c r="P49" s="9">
        <v>0.1109</v>
      </c>
      <c r="Q49" s="9">
        <v>0.2656</v>
      </c>
      <c r="R49" s="9">
        <v>0.108</v>
      </c>
      <c r="S49" s="7">
        <v>106</v>
      </c>
      <c r="T49" s="7">
        <v>3236</v>
      </c>
      <c r="U49" s="7">
        <v>2088</v>
      </c>
      <c r="V49" s="7">
        <v>4952</v>
      </c>
      <c r="W49" s="7">
        <v>378042.495999999</v>
      </c>
      <c r="X49" s="7">
        <v>2779568.19199999</v>
      </c>
      <c r="Y49" s="7">
        <v>1130281.6000000001</v>
      </c>
      <c r="Z49" s="7">
        <v>79640.911999999997</v>
      </c>
      <c r="AA49" s="7">
        <v>484441.66399999999</v>
      </c>
      <c r="AB49" s="11">
        <f t="shared" si="0"/>
        <v>104539396</v>
      </c>
    </row>
    <row r="50" spans="1:28" x14ac:dyDescent="0.25">
      <c r="A50" t="str">
        <f t="shared" si="1"/>
        <v>Waihou-Piako</v>
      </c>
      <c r="B50" t="str">
        <f t="shared" si="1"/>
        <v>farm-plan-only</v>
      </c>
      <c r="C50">
        <v>4</v>
      </c>
      <c r="D50" s="11">
        <v>715185881</v>
      </c>
      <c r="E50" s="11">
        <v>611210723</v>
      </c>
      <c r="F50" s="11">
        <v>250445715</v>
      </c>
      <c r="G50" s="7">
        <v>889</v>
      </c>
      <c r="H50" s="7">
        <v>332</v>
      </c>
      <c r="I50" s="7">
        <v>2564</v>
      </c>
      <c r="J50" s="7">
        <v>880</v>
      </c>
      <c r="K50" s="7">
        <v>8191</v>
      </c>
      <c r="L50" s="7">
        <v>3183</v>
      </c>
      <c r="M50" s="7">
        <v>8085</v>
      </c>
      <c r="N50" s="7">
        <v>8191</v>
      </c>
      <c r="O50" s="9">
        <v>0.1085</v>
      </c>
      <c r="P50" s="9">
        <v>0.1043</v>
      </c>
      <c r="Q50" s="9">
        <v>0.31709999999999999</v>
      </c>
      <c r="R50" s="9">
        <v>0.1074</v>
      </c>
      <c r="S50" s="7">
        <v>106</v>
      </c>
      <c r="T50" s="7">
        <v>3183</v>
      </c>
      <c r="U50" s="7">
        <v>2191</v>
      </c>
      <c r="V50" s="7">
        <v>4902</v>
      </c>
      <c r="W50" s="7">
        <v>325196</v>
      </c>
      <c r="X50" s="7">
        <v>2743230.4640000002</v>
      </c>
      <c r="Y50" s="7">
        <v>1088220.656</v>
      </c>
      <c r="Z50" s="7">
        <v>78107.423999999999</v>
      </c>
      <c r="AA50" s="7">
        <v>473786.16</v>
      </c>
      <c r="AB50" s="11">
        <f t="shared" si="0"/>
        <v>103975158</v>
      </c>
    </row>
    <row r="51" spans="1:28" x14ac:dyDescent="0.25">
      <c r="A51" t="str">
        <f t="shared" si="1"/>
        <v>Waihou-Piako</v>
      </c>
      <c r="B51" t="str">
        <f t="shared" si="1"/>
        <v>farm-plan-only</v>
      </c>
      <c r="C51">
        <v>5</v>
      </c>
      <c r="D51" s="11">
        <v>713565883</v>
      </c>
      <c r="E51" s="11">
        <v>609920379</v>
      </c>
      <c r="F51" s="11">
        <v>217714244</v>
      </c>
      <c r="G51" s="7">
        <v>854</v>
      </c>
      <c r="H51" s="7">
        <v>304</v>
      </c>
      <c r="I51" s="7">
        <v>2880</v>
      </c>
      <c r="J51" s="7">
        <v>837</v>
      </c>
      <c r="K51" s="7">
        <v>7991</v>
      </c>
      <c r="L51" s="7">
        <v>3121</v>
      </c>
      <c r="M51" s="7">
        <v>7864</v>
      </c>
      <c r="N51" s="7">
        <v>7991</v>
      </c>
      <c r="O51" s="9">
        <v>0.1069</v>
      </c>
      <c r="P51" s="9">
        <v>9.74E-2</v>
      </c>
      <c r="Q51" s="9">
        <v>0.36620000000000003</v>
      </c>
      <c r="R51" s="9">
        <v>0.1047</v>
      </c>
      <c r="S51" s="7">
        <v>127</v>
      </c>
      <c r="T51" s="7">
        <v>3121</v>
      </c>
      <c r="U51" s="7">
        <v>2391</v>
      </c>
      <c r="V51" s="7">
        <v>4743</v>
      </c>
      <c r="W51" s="7">
        <v>291194</v>
      </c>
      <c r="X51" s="7">
        <v>2714079.5040000002</v>
      </c>
      <c r="Y51" s="7">
        <v>1036261.664</v>
      </c>
      <c r="Z51" s="7">
        <v>76841.936000000103</v>
      </c>
      <c r="AA51" s="7">
        <v>468253.64799999999</v>
      </c>
      <c r="AB51" s="11">
        <f t="shared" si="0"/>
        <v>103645504</v>
      </c>
    </row>
    <row r="52" spans="1:28" x14ac:dyDescent="0.25">
      <c r="A52" t="str">
        <f t="shared" si="1"/>
        <v>Waihou-Piako</v>
      </c>
      <c r="B52" t="str">
        <f t="shared" si="1"/>
        <v>farm-plan-only</v>
      </c>
      <c r="C52">
        <v>6</v>
      </c>
      <c r="D52" s="11">
        <v>714087426</v>
      </c>
      <c r="E52" s="11">
        <v>612412668</v>
      </c>
      <c r="F52" s="11">
        <v>198470182</v>
      </c>
      <c r="G52" s="7">
        <v>841</v>
      </c>
      <c r="H52" s="7">
        <v>302</v>
      </c>
      <c r="I52" s="7">
        <v>3107</v>
      </c>
      <c r="J52" s="7">
        <v>809</v>
      </c>
      <c r="K52" s="7">
        <v>7832</v>
      </c>
      <c r="L52" s="7">
        <v>3068</v>
      </c>
      <c r="M52" s="7">
        <v>7719</v>
      </c>
      <c r="N52" s="7">
        <v>7832</v>
      </c>
      <c r="O52" s="9">
        <v>0.1074</v>
      </c>
      <c r="P52" s="9">
        <v>9.8400000000000001E-2</v>
      </c>
      <c r="Q52" s="9">
        <v>0.40250000000000002</v>
      </c>
      <c r="R52" s="9">
        <v>0.1033</v>
      </c>
      <c r="S52" s="7">
        <v>113</v>
      </c>
      <c r="T52" s="7">
        <v>3068</v>
      </c>
      <c r="U52" s="7">
        <v>2550</v>
      </c>
      <c r="V52" s="7">
        <v>4651</v>
      </c>
      <c r="W52" s="7">
        <v>231997.05599999899</v>
      </c>
      <c r="X52" s="7">
        <v>2668302.2719999999</v>
      </c>
      <c r="Y52" s="7">
        <v>986797.74399999995</v>
      </c>
      <c r="Z52" s="7">
        <v>75230.512000000104</v>
      </c>
      <c r="AA52" s="7">
        <v>456588.44799999899</v>
      </c>
      <c r="AB52" s="11">
        <f t="shared" si="0"/>
        <v>101674758</v>
      </c>
    </row>
    <row r="53" spans="1:28" x14ac:dyDescent="0.25">
      <c r="A53" t="str">
        <f t="shared" si="1"/>
        <v>Waihou-Piako</v>
      </c>
      <c r="B53" t="str">
        <f t="shared" si="1"/>
        <v>farm-plan-only</v>
      </c>
      <c r="C53">
        <v>7</v>
      </c>
      <c r="D53" s="11">
        <v>714435539</v>
      </c>
      <c r="E53" s="11">
        <v>611983469</v>
      </c>
      <c r="F53" s="11">
        <v>185713550</v>
      </c>
      <c r="G53" s="7">
        <v>826</v>
      </c>
      <c r="H53" s="7">
        <v>296</v>
      </c>
      <c r="I53" s="7">
        <v>3316</v>
      </c>
      <c r="J53" s="7">
        <v>797</v>
      </c>
      <c r="K53" s="7">
        <v>7734</v>
      </c>
      <c r="L53" s="7">
        <v>3001</v>
      </c>
      <c r="M53" s="7">
        <v>7606</v>
      </c>
      <c r="N53" s="7">
        <v>7734</v>
      </c>
      <c r="O53" s="9">
        <v>0.10680000000000001</v>
      </c>
      <c r="P53" s="9">
        <v>9.8599999999999993E-2</v>
      </c>
      <c r="Q53" s="9">
        <v>0.436</v>
      </c>
      <c r="R53" s="9">
        <v>0.1031</v>
      </c>
      <c r="S53" s="7">
        <v>128</v>
      </c>
      <c r="T53" s="7">
        <v>3001</v>
      </c>
      <c r="U53" s="7">
        <v>2648</v>
      </c>
      <c r="V53" s="7">
        <v>4605</v>
      </c>
      <c r="W53" s="7">
        <v>180829.74400000001</v>
      </c>
      <c r="X53" s="7">
        <v>2623749.264</v>
      </c>
      <c r="Y53" s="7">
        <v>951272.01600000204</v>
      </c>
      <c r="Z53" s="7">
        <v>74040.272000000201</v>
      </c>
      <c r="AA53" s="7">
        <v>447592.41600000003</v>
      </c>
      <c r="AB53" s="11">
        <f t="shared" si="0"/>
        <v>102452070</v>
      </c>
    </row>
    <row r="54" spans="1:28" x14ac:dyDescent="0.25">
      <c r="A54" t="str">
        <f t="shared" si="1"/>
        <v>Waihou-Piako</v>
      </c>
      <c r="B54" t="str">
        <f t="shared" si="1"/>
        <v>farm-plan-only</v>
      </c>
      <c r="C54">
        <v>8</v>
      </c>
      <c r="D54" s="11">
        <v>710599112</v>
      </c>
      <c r="E54" s="11">
        <v>608361053</v>
      </c>
      <c r="F54" s="11">
        <v>184912150</v>
      </c>
      <c r="G54" s="7">
        <v>809</v>
      </c>
      <c r="H54" s="7">
        <v>278</v>
      </c>
      <c r="I54" s="7">
        <v>3449</v>
      </c>
      <c r="J54" s="7">
        <v>740</v>
      </c>
      <c r="K54" s="7">
        <v>7570</v>
      </c>
      <c r="L54" s="7">
        <v>2950</v>
      </c>
      <c r="M54" s="7">
        <v>7422</v>
      </c>
      <c r="N54" s="7">
        <v>7570</v>
      </c>
      <c r="O54" s="9">
        <v>0.1069</v>
      </c>
      <c r="P54" s="9">
        <v>9.4200000000000006E-2</v>
      </c>
      <c r="Q54" s="9">
        <v>0.4647</v>
      </c>
      <c r="R54" s="9">
        <v>9.7799999999999998E-2</v>
      </c>
      <c r="S54" s="7">
        <v>148</v>
      </c>
      <c r="T54" s="7">
        <v>2950</v>
      </c>
      <c r="U54" s="7">
        <v>2812</v>
      </c>
      <c r="V54" s="7">
        <v>4472</v>
      </c>
      <c r="W54" s="7">
        <v>146309.424</v>
      </c>
      <c r="X54" s="7">
        <v>2591360.3519999902</v>
      </c>
      <c r="Y54" s="7">
        <v>922271.56799999799</v>
      </c>
      <c r="Z54" s="7">
        <v>72808.047999999995</v>
      </c>
      <c r="AA54" s="7">
        <v>440982.11200000002</v>
      </c>
      <c r="AB54" s="11">
        <f t="shared" si="0"/>
        <v>102238059</v>
      </c>
    </row>
    <row r="55" spans="1:28" x14ac:dyDescent="0.25">
      <c r="A55" t="str">
        <f t="shared" si="1"/>
        <v>Waihou-Piako</v>
      </c>
      <c r="B55" t="str">
        <f t="shared" si="1"/>
        <v>farm-plan-only</v>
      </c>
      <c r="C55">
        <v>9</v>
      </c>
      <c r="D55" s="11">
        <v>712371622</v>
      </c>
      <c r="E55" s="11">
        <v>609445219</v>
      </c>
      <c r="F55" s="11">
        <v>190825059</v>
      </c>
      <c r="G55" s="7">
        <v>792</v>
      </c>
      <c r="H55" s="7">
        <v>275</v>
      </c>
      <c r="I55" s="7">
        <v>3783</v>
      </c>
      <c r="J55" s="7">
        <v>735</v>
      </c>
      <c r="K55" s="7">
        <v>7418</v>
      </c>
      <c r="L55" s="7">
        <v>2860</v>
      </c>
      <c r="M55" s="7">
        <v>7257</v>
      </c>
      <c r="N55" s="7">
        <v>7418</v>
      </c>
      <c r="O55" s="9">
        <v>0.10680000000000001</v>
      </c>
      <c r="P55" s="9">
        <v>9.6199999999999994E-2</v>
      </c>
      <c r="Q55" s="9">
        <v>0.52129999999999999</v>
      </c>
      <c r="R55" s="9">
        <v>9.9099999999999994E-2</v>
      </c>
      <c r="S55" s="7">
        <v>161</v>
      </c>
      <c r="T55" s="7">
        <v>2860</v>
      </c>
      <c r="U55" s="7">
        <v>2964</v>
      </c>
      <c r="V55" s="7">
        <v>4397</v>
      </c>
      <c r="W55" s="7">
        <v>95303.487999999794</v>
      </c>
      <c r="X55" s="7">
        <v>2548953.0720000002</v>
      </c>
      <c r="Y55" s="7">
        <v>887472.39999999898</v>
      </c>
      <c r="Z55" s="7">
        <v>71787.823999999993</v>
      </c>
      <c r="AA55" s="7">
        <v>432747.90399999899</v>
      </c>
      <c r="AB55" s="11">
        <f t="shared" si="0"/>
        <v>102926403</v>
      </c>
    </row>
    <row r="56" spans="1:28" x14ac:dyDescent="0.25">
      <c r="A56" s="5" t="str">
        <f t="shared" si="1"/>
        <v>Waihou-Piako</v>
      </c>
      <c r="B56" s="5" t="str">
        <f t="shared" si="1"/>
        <v>farm-plan-only</v>
      </c>
      <c r="C56" s="5">
        <v>10</v>
      </c>
      <c r="D56" s="12">
        <v>709253191</v>
      </c>
      <c r="E56" s="12">
        <v>605925817</v>
      </c>
      <c r="F56" s="12">
        <v>196927323</v>
      </c>
      <c r="G56" s="8">
        <v>756</v>
      </c>
      <c r="H56" s="8">
        <v>272</v>
      </c>
      <c r="I56" s="8">
        <v>3996</v>
      </c>
      <c r="J56" s="8">
        <v>732</v>
      </c>
      <c r="K56" s="8">
        <v>7246</v>
      </c>
      <c r="L56" s="8">
        <v>2803</v>
      </c>
      <c r="M56" s="8">
        <v>7079</v>
      </c>
      <c r="N56" s="8">
        <v>7246</v>
      </c>
      <c r="O56" s="10">
        <v>0.1043</v>
      </c>
      <c r="P56" s="10">
        <v>9.7000000000000003E-2</v>
      </c>
      <c r="Q56" s="10">
        <v>0.5645</v>
      </c>
      <c r="R56" s="10">
        <v>0.10100000000000001</v>
      </c>
      <c r="S56" s="8">
        <v>167</v>
      </c>
      <c r="T56" s="8">
        <v>2803</v>
      </c>
      <c r="U56" s="8">
        <v>3136</v>
      </c>
      <c r="V56" s="8">
        <v>4276</v>
      </c>
      <c r="W56" s="8">
        <v>46901.039999999899</v>
      </c>
      <c r="X56" s="8">
        <v>2493284.9439999899</v>
      </c>
      <c r="Y56" s="8">
        <v>820529.03999999701</v>
      </c>
      <c r="Z56" s="8">
        <v>70095.296000000002</v>
      </c>
      <c r="AA56" s="8">
        <v>421575.10399999999</v>
      </c>
      <c r="AB56" s="12">
        <f t="shared" si="0"/>
        <v>103327374</v>
      </c>
    </row>
    <row r="57" spans="1:28" x14ac:dyDescent="0.25">
      <c r="A57" t="str">
        <f t="shared" si="1"/>
        <v>Waihou-Piako</v>
      </c>
      <c r="B57" t="str">
        <f>[1]Scenario!G2</f>
        <v>all-profit-farmers</v>
      </c>
      <c r="C57">
        <v>0</v>
      </c>
      <c r="D57" s="11">
        <v>718336707</v>
      </c>
      <c r="E57" s="11">
        <v>616071747</v>
      </c>
      <c r="F57" s="11">
        <v>200078113</v>
      </c>
      <c r="G57" s="7">
        <v>1020</v>
      </c>
      <c r="H57" s="7">
        <v>381</v>
      </c>
      <c r="I57" s="7">
        <v>934</v>
      </c>
      <c r="J57" s="7">
        <v>983</v>
      </c>
      <c r="K57" s="7">
        <v>9068</v>
      </c>
      <c r="L57" s="7">
        <v>3558</v>
      </c>
      <c r="M57" s="7">
        <v>9000</v>
      </c>
      <c r="N57" s="7">
        <v>9068</v>
      </c>
      <c r="O57" s="9">
        <v>0.1125</v>
      </c>
      <c r="P57" s="9">
        <v>0.1071</v>
      </c>
      <c r="Q57" s="9">
        <v>0.1038</v>
      </c>
      <c r="R57" s="9">
        <v>0.1084</v>
      </c>
      <c r="S57" s="7">
        <v>68</v>
      </c>
      <c r="T57" s="7">
        <v>3558</v>
      </c>
      <c r="U57" s="7">
        <v>1314</v>
      </c>
      <c r="V57" s="7">
        <v>5442</v>
      </c>
      <c r="W57" s="7">
        <v>573476.255999999</v>
      </c>
      <c r="X57" s="7">
        <v>2966620.6879999898</v>
      </c>
      <c r="Y57" s="7">
        <v>1285647.4239999901</v>
      </c>
      <c r="Z57" s="7">
        <v>85011.712</v>
      </c>
      <c r="AA57" s="7">
        <v>523229.087999999</v>
      </c>
      <c r="AB57" s="11">
        <f t="shared" si="0"/>
        <v>102264960</v>
      </c>
    </row>
    <row r="58" spans="1:28" x14ac:dyDescent="0.25">
      <c r="A58" t="str">
        <f t="shared" si="1"/>
        <v>Waihou-Piako</v>
      </c>
      <c r="B58" t="str">
        <f>B57</f>
        <v>all-profit-farmers</v>
      </c>
      <c r="C58">
        <v>1</v>
      </c>
      <c r="D58" s="11">
        <v>718882591</v>
      </c>
      <c r="E58" s="11">
        <v>615978889</v>
      </c>
      <c r="F58" s="11">
        <v>242870779</v>
      </c>
      <c r="G58" s="7">
        <v>1356</v>
      </c>
      <c r="H58" s="7">
        <v>579</v>
      </c>
      <c r="I58" s="7">
        <v>1328</v>
      </c>
      <c r="J58" s="7">
        <v>1394</v>
      </c>
      <c r="K58" s="7">
        <v>8761</v>
      </c>
      <c r="L58" s="7">
        <v>3441</v>
      </c>
      <c r="M58" s="7">
        <v>8682</v>
      </c>
      <c r="N58" s="7">
        <v>8761</v>
      </c>
      <c r="O58" s="9">
        <v>0.15479999999999999</v>
      </c>
      <c r="P58" s="9">
        <v>0.16830000000000001</v>
      </c>
      <c r="Q58" s="9">
        <v>0.153</v>
      </c>
      <c r="R58" s="9">
        <v>0.15909999999999999</v>
      </c>
      <c r="S58" s="7">
        <v>79</v>
      </c>
      <c r="T58" s="7">
        <v>3441</v>
      </c>
      <c r="U58" s="7">
        <v>1621</v>
      </c>
      <c r="V58" s="7">
        <v>5241</v>
      </c>
      <c r="W58" s="7">
        <v>573688.81600000197</v>
      </c>
      <c r="X58" s="7">
        <v>2967115.7439999902</v>
      </c>
      <c r="Y58" s="7">
        <v>1284754.6559999899</v>
      </c>
      <c r="Z58" s="7">
        <v>84952.815999999802</v>
      </c>
      <c r="AA58" s="7">
        <v>523171.26400000101</v>
      </c>
      <c r="AB58" s="11">
        <f t="shared" si="0"/>
        <v>102903702</v>
      </c>
    </row>
    <row r="59" spans="1:28" x14ac:dyDescent="0.25">
      <c r="A59" t="str">
        <f t="shared" si="1"/>
        <v>Waihou-Piako</v>
      </c>
      <c r="B59" t="str">
        <f t="shared" si="1"/>
        <v>all-profit-farmers</v>
      </c>
      <c r="C59">
        <v>2</v>
      </c>
      <c r="D59" s="11">
        <v>716298598</v>
      </c>
      <c r="E59" s="11">
        <v>615176751</v>
      </c>
      <c r="F59" s="11">
        <v>231666377</v>
      </c>
      <c r="G59" s="7">
        <v>1536</v>
      </c>
      <c r="H59" s="7">
        <v>731</v>
      </c>
      <c r="I59" s="7">
        <v>1750</v>
      </c>
      <c r="J59" s="7">
        <v>1660</v>
      </c>
      <c r="K59" s="7">
        <v>8443</v>
      </c>
      <c r="L59" s="7">
        <v>3317</v>
      </c>
      <c r="M59" s="7">
        <v>8348</v>
      </c>
      <c r="N59" s="7">
        <v>8443</v>
      </c>
      <c r="O59" s="9">
        <v>0.18190000000000001</v>
      </c>
      <c r="P59" s="9">
        <v>0.22040000000000001</v>
      </c>
      <c r="Q59" s="9">
        <v>0.20960000000000001</v>
      </c>
      <c r="R59" s="9">
        <v>0.1966</v>
      </c>
      <c r="S59" s="7">
        <v>95</v>
      </c>
      <c r="T59" s="7">
        <v>3317</v>
      </c>
      <c r="U59" s="7">
        <v>1939</v>
      </c>
      <c r="V59" s="7">
        <v>5031</v>
      </c>
      <c r="W59" s="7">
        <v>473463.087999999</v>
      </c>
      <c r="X59" s="7">
        <v>2771392.48</v>
      </c>
      <c r="Y59" s="7">
        <v>1137240.0959999899</v>
      </c>
      <c r="Z59" s="7">
        <v>78326.207999999897</v>
      </c>
      <c r="AA59" s="7">
        <v>473979.96799999999</v>
      </c>
      <c r="AB59" s="11">
        <f t="shared" si="0"/>
        <v>101121847</v>
      </c>
    </row>
    <row r="60" spans="1:28" x14ac:dyDescent="0.25">
      <c r="A60" t="str">
        <f t="shared" si="1"/>
        <v>Waihou-Piako</v>
      </c>
      <c r="B60" t="str">
        <f t="shared" si="1"/>
        <v>all-profit-farmers</v>
      </c>
      <c r="C60">
        <v>3</v>
      </c>
      <c r="D60" s="11">
        <v>715578907</v>
      </c>
      <c r="E60" s="11">
        <v>613365972</v>
      </c>
      <c r="F60" s="11">
        <v>234120243</v>
      </c>
      <c r="G60" s="7">
        <v>1819</v>
      </c>
      <c r="H60" s="7">
        <v>854</v>
      </c>
      <c r="I60" s="7">
        <v>2048</v>
      </c>
      <c r="J60" s="7">
        <v>1902</v>
      </c>
      <c r="K60" s="7">
        <v>8263</v>
      </c>
      <c r="L60" s="7">
        <v>3272</v>
      </c>
      <c r="M60" s="7">
        <v>8176</v>
      </c>
      <c r="N60" s="7">
        <v>8263</v>
      </c>
      <c r="O60" s="9">
        <v>0.22009999999999999</v>
      </c>
      <c r="P60" s="9">
        <v>0.26100000000000001</v>
      </c>
      <c r="Q60" s="9">
        <v>0.2505</v>
      </c>
      <c r="R60" s="9">
        <v>0.23019999999999999</v>
      </c>
      <c r="S60" s="7">
        <v>87</v>
      </c>
      <c r="T60" s="7">
        <v>3272</v>
      </c>
      <c r="U60" s="7">
        <v>2119</v>
      </c>
      <c r="V60" s="7">
        <v>4904</v>
      </c>
      <c r="W60" s="7">
        <v>371584.848</v>
      </c>
      <c r="X60" s="7">
        <v>2616525.5520000001</v>
      </c>
      <c r="Y60" s="7">
        <v>1030720.5919999901</v>
      </c>
      <c r="Z60" s="7">
        <v>73158.240000000194</v>
      </c>
      <c r="AA60" s="7">
        <v>433742.76799999899</v>
      </c>
      <c r="AB60" s="11">
        <f t="shared" si="0"/>
        <v>102212935</v>
      </c>
    </row>
    <row r="61" spans="1:28" x14ac:dyDescent="0.25">
      <c r="A61" t="str">
        <f t="shared" si="1"/>
        <v>Waihou-Piako</v>
      </c>
      <c r="B61" t="str">
        <f t="shared" si="1"/>
        <v>all-profit-farmers</v>
      </c>
      <c r="C61">
        <v>4</v>
      </c>
      <c r="D61" s="11">
        <v>714716640</v>
      </c>
      <c r="E61" s="11">
        <v>614681519</v>
      </c>
      <c r="F61" s="11">
        <v>224981464</v>
      </c>
      <c r="G61" s="7">
        <v>2175</v>
      </c>
      <c r="H61" s="7">
        <v>987</v>
      </c>
      <c r="I61" s="7">
        <v>2384</v>
      </c>
      <c r="J61" s="7">
        <v>2224</v>
      </c>
      <c r="K61" s="7">
        <v>8097</v>
      </c>
      <c r="L61" s="7">
        <v>3193</v>
      </c>
      <c r="M61" s="7">
        <v>8013</v>
      </c>
      <c r="N61" s="7">
        <v>8097</v>
      </c>
      <c r="O61" s="9">
        <v>0.26860000000000001</v>
      </c>
      <c r="P61" s="9">
        <v>0.30909999999999999</v>
      </c>
      <c r="Q61" s="9">
        <v>0.29749999999999999</v>
      </c>
      <c r="R61" s="9">
        <v>0.2747</v>
      </c>
      <c r="S61" s="7">
        <v>84</v>
      </c>
      <c r="T61" s="7">
        <v>3193</v>
      </c>
      <c r="U61" s="7">
        <v>2285</v>
      </c>
      <c r="V61" s="7">
        <v>4820</v>
      </c>
      <c r="W61" s="7">
        <v>312012.32</v>
      </c>
      <c r="X61" s="7">
        <v>2515215.1359999902</v>
      </c>
      <c r="Y61" s="7">
        <v>930887.31200000003</v>
      </c>
      <c r="Z61" s="7">
        <v>69216.479999999894</v>
      </c>
      <c r="AA61" s="7">
        <v>403917.72799999901</v>
      </c>
      <c r="AB61" s="11">
        <f t="shared" si="0"/>
        <v>100035121</v>
      </c>
    </row>
    <row r="62" spans="1:28" x14ac:dyDescent="0.25">
      <c r="A62" t="str">
        <f t="shared" si="1"/>
        <v>Waihou-Piako</v>
      </c>
      <c r="B62" t="str">
        <f t="shared" si="1"/>
        <v>all-profit-farmers</v>
      </c>
      <c r="C62">
        <v>5</v>
      </c>
      <c r="D62" s="11">
        <v>711988891</v>
      </c>
      <c r="E62" s="11">
        <v>612048144</v>
      </c>
      <c r="F62" s="11">
        <v>194515350</v>
      </c>
      <c r="G62" s="7">
        <v>2483</v>
      </c>
      <c r="H62" s="7">
        <v>1147</v>
      </c>
      <c r="I62" s="7">
        <v>2592</v>
      </c>
      <c r="J62" s="7">
        <v>2574</v>
      </c>
      <c r="K62" s="7">
        <v>7925</v>
      </c>
      <c r="L62" s="7">
        <v>3104</v>
      </c>
      <c r="M62" s="7">
        <v>7804</v>
      </c>
      <c r="N62" s="7">
        <v>7925</v>
      </c>
      <c r="O62" s="9">
        <v>0.31330000000000002</v>
      </c>
      <c r="P62" s="9">
        <v>0.3695</v>
      </c>
      <c r="Q62" s="9">
        <v>0.33210000000000001</v>
      </c>
      <c r="R62" s="9">
        <v>0.32479999999999998</v>
      </c>
      <c r="S62" s="7">
        <v>121</v>
      </c>
      <c r="T62" s="7">
        <v>3104</v>
      </c>
      <c r="U62" s="7">
        <v>2457</v>
      </c>
      <c r="V62" s="7">
        <v>4700</v>
      </c>
      <c r="W62" s="7">
        <v>252589.2</v>
      </c>
      <c r="X62" s="7">
        <v>2392622.2880000002</v>
      </c>
      <c r="Y62" s="7">
        <v>828312.15999999898</v>
      </c>
      <c r="Z62" s="7">
        <v>64749.504000000001</v>
      </c>
      <c r="AA62" s="7">
        <v>369589.12</v>
      </c>
      <c r="AB62" s="11">
        <f t="shared" si="0"/>
        <v>99940747</v>
      </c>
    </row>
    <row r="63" spans="1:28" x14ac:dyDescent="0.25">
      <c r="A63" t="str">
        <f t="shared" si="1"/>
        <v>Waihou-Piako</v>
      </c>
      <c r="B63" t="str">
        <f t="shared" si="1"/>
        <v>all-profit-farmers</v>
      </c>
      <c r="C63">
        <v>6</v>
      </c>
      <c r="D63" s="11">
        <v>707548395</v>
      </c>
      <c r="E63" s="11">
        <v>611840372</v>
      </c>
      <c r="F63" s="11">
        <v>190935820</v>
      </c>
      <c r="G63" s="7">
        <v>2647</v>
      </c>
      <c r="H63" s="7">
        <v>1255</v>
      </c>
      <c r="I63" s="7">
        <v>2777</v>
      </c>
      <c r="J63" s="7">
        <v>2803</v>
      </c>
      <c r="K63" s="7">
        <v>7758</v>
      </c>
      <c r="L63" s="7">
        <v>3025</v>
      </c>
      <c r="M63" s="7">
        <v>7609</v>
      </c>
      <c r="N63" s="7">
        <v>7758</v>
      </c>
      <c r="O63" s="9">
        <v>0.3412</v>
      </c>
      <c r="P63" s="9">
        <v>0.41489999999999999</v>
      </c>
      <c r="Q63" s="9">
        <v>0.36499999999999999</v>
      </c>
      <c r="R63" s="9">
        <v>0.36130000000000001</v>
      </c>
      <c r="S63" s="7">
        <v>149</v>
      </c>
      <c r="T63" s="7">
        <v>3025</v>
      </c>
      <c r="U63" s="7">
        <v>2624</v>
      </c>
      <c r="V63" s="7">
        <v>4584</v>
      </c>
      <c r="W63" s="7">
        <v>192368.32</v>
      </c>
      <c r="X63" s="7">
        <v>2257296.4479999901</v>
      </c>
      <c r="Y63" s="7">
        <v>750500.43199999898</v>
      </c>
      <c r="Z63" s="7">
        <v>60618.400000000001</v>
      </c>
      <c r="AA63" s="7">
        <v>337175.42400000099</v>
      </c>
      <c r="AB63" s="11">
        <f t="shared" si="0"/>
        <v>95708023</v>
      </c>
    </row>
    <row r="64" spans="1:28" x14ac:dyDescent="0.25">
      <c r="A64" t="str">
        <f t="shared" si="1"/>
        <v>Waihou-Piako</v>
      </c>
      <c r="B64" t="str">
        <f t="shared" si="1"/>
        <v>all-profit-farmers</v>
      </c>
      <c r="C64">
        <v>7</v>
      </c>
      <c r="D64" s="11">
        <v>707176849</v>
      </c>
      <c r="E64" s="11">
        <v>611859955</v>
      </c>
      <c r="F64" s="11">
        <v>182154246</v>
      </c>
      <c r="G64" s="7">
        <v>2889</v>
      </c>
      <c r="H64" s="7">
        <v>1323</v>
      </c>
      <c r="I64" s="7">
        <v>3009</v>
      </c>
      <c r="J64" s="7">
        <v>2982</v>
      </c>
      <c r="K64" s="7">
        <v>7625</v>
      </c>
      <c r="L64" s="7">
        <v>2968</v>
      </c>
      <c r="M64" s="7">
        <v>7479</v>
      </c>
      <c r="N64" s="7">
        <v>7625</v>
      </c>
      <c r="O64" s="9">
        <v>0.37890000000000001</v>
      </c>
      <c r="P64" s="9">
        <v>0.44579999999999997</v>
      </c>
      <c r="Q64" s="9">
        <v>0.40229999999999999</v>
      </c>
      <c r="R64" s="9">
        <v>0.3911</v>
      </c>
      <c r="S64" s="7">
        <v>146</v>
      </c>
      <c r="T64" s="7">
        <v>2968</v>
      </c>
      <c r="U64" s="7">
        <v>2757</v>
      </c>
      <c r="V64" s="7">
        <v>4511</v>
      </c>
      <c r="W64" s="7">
        <v>139568.49600000001</v>
      </c>
      <c r="X64" s="7">
        <v>2170186.5279999999</v>
      </c>
      <c r="Y64" s="7">
        <v>689930.255999999</v>
      </c>
      <c r="Z64" s="7">
        <v>57732.256000000001</v>
      </c>
      <c r="AA64" s="7">
        <v>311679.32799999998</v>
      </c>
      <c r="AB64" s="11">
        <f t="shared" si="0"/>
        <v>95316894</v>
      </c>
    </row>
    <row r="65" spans="1:28" x14ac:dyDescent="0.25">
      <c r="A65" t="str">
        <f t="shared" si="1"/>
        <v>Waihou-Piako</v>
      </c>
      <c r="B65" t="str">
        <f t="shared" si="1"/>
        <v>all-profit-farmers</v>
      </c>
      <c r="C65">
        <v>8</v>
      </c>
      <c r="D65" s="11">
        <v>705547608</v>
      </c>
      <c r="E65" s="11">
        <v>610574866</v>
      </c>
      <c r="F65" s="11">
        <v>193795010</v>
      </c>
      <c r="G65" s="7">
        <v>3044</v>
      </c>
      <c r="H65" s="7">
        <v>1481</v>
      </c>
      <c r="I65" s="7">
        <v>3206</v>
      </c>
      <c r="J65" s="7">
        <v>3382</v>
      </c>
      <c r="K65" s="7">
        <v>7493</v>
      </c>
      <c r="L65" s="7">
        <v>2908</v>
      </c>
      <c r="M65" s="7">
        <v>7327</v>
      </c>
      <c r="N65" s="7">
        <v>7493</v>
      </c>
      <c r="O65" s="9">
        <v>0.40620000000000001</v>
      </c>
      <c r="P65" s="9">
        <v>0.50929999999999997</v>
      </c>
      <c r="Q65" s="9">
        <v>0.43759999999999999</v>
      </c>
      <c r="R65" s="9">
        <v>0.45140000000000002</v>
      </c>
      <c r="S65" s="7">
        <v>166</v>
      </c>
      <c r="T65" s="7">
        <v>2908</v>
      </c>
      <c r="U65" s="7">
        <v>2889</v>
      </c>
      <c r="V65" s="7">
        <v>4419</v>
      </c>
      <c r="W65" s="7">
        <v>93953.184000000096</v>
      </c>
      <c r="X65" s="7">
        <v>2092850.128</v>
      </c>
      <c r="Y65" s="7">
        <v>640288.38399999903</v>
      </c>
      <c r="Z65" s="7">
        <v>54839.264000000003</v>
      </c>
      <c r="AA65" s="7">
        <v>290581.935999999</v>
      </c>
      <c r="AB65" s="11">
        <f t="shared" si="0"/>
        <v>94972742</v>
      </c>
    </row>
    <row r="66" spans="1:28" x14ac:dyDescent="0.25">
      <c r="A66" t="str">
        <f t="shared" si="1"/>
        <v>Waihou-Piako</v>
      </c>
      <c r="B66" t="str">
        <f t="shared" si="1"/>
        <v>all-profit-farmers</v>
      </c>
      <c r="C66">
        <v>9</v>
      </c>
      <c r="D66" s="11">
        <v>703589877</v>
      </c>
      <c r="E66" s="11">
        <v>610119901</v>
      </c>
      <c r="F66" s="11">
        <v>206104606</v>
      </c>
      <c r="G66" s="7">
        <v>3280</v>
      </c>
      <c r="H66" s="7">
        <v>1601</v>
      </c>
      <c r="I66" s="7">
        <v>3329</v>
      </c>
      <c r="J66" s="7">
        <v>3510</v>
      </c>
      <c r="K66" s="7">
        <v>7367</v>
      </c>
      <c r="L66" s="7">
        <v>2888</v>
      </c>
      <c r="M66" s="7">
        <v>7199</v>
      </c>
      <c r="N66" s="7">
        <v>7367</v>
      </c>
      <c r="O66" s="9">
        <v>0.44519999999999998</v>
      </c>
      <c r="P66" s="9">
        <v>0.5544</v>
      </c>
      <c r="Q66" s="9">
        <v>0.46239999999999998</v>
      </c>
      <c r="R66" s="9">
        <v>0.47639999999999999</v>
      </c>
      <c r="S66" s="7">
        <v>168</v>
      </c>
      <c r="T66" s="7">
        <v>2888</v>
      </c>
      <c r="U66" s="7">
        <v>3015</v>
      </c>
      <c r="V66" s="7">
        <v>4311</v>
      </c>
      <c r="W66" s="7">
        <v>47895.088000000098</v>
      </c>
      <c r="X66" s="7">
        <v>1970474.848</v>
      </c>
      <c r="Y66" s="7">
        <v>560607.96799999999</v>
      </c>
      <c r="Z66" s="7">
        <v>51472.08</v>
      </c>
      <c r="AA66" s="7">
        <v>264074.62399999902</v>
      </c>
      <c r="AB66" s="11">
        <f t="shared" si="0"/>
        <v>93469976</v>
      </c>
    </row>
    <row r="67" spans="1:28" x14ac:dyDescent="0.25">
      <c r="A67" s="5" t="str">
        <f t="shared" si="1"/>
        <v>Waihou-Piako</v>
      </c>
      <c r="B67" s="5" t="str">
        <f t="shared" si="1"/>
        <v>all-profit-farmers</v>
      </c>
      <c r="C67" s="5">
        <v>10</v>
      </c>
      <c r="D67" s="12">
        <v>705601414</v>
      </c>
      <c r="E67" s="12">
        <v>612052773</v>
      </c>
      <c r="F67" s="12">
        <v>192265978</v>
      </c>
      <c r="G67" s="8">
        <v>3318</v>
      </c>
      <c r="H67" s="8">
        <v>1761</v>
      </c>
      <c r="I67" s="8">
        <v>3449</v>
      </c>
      <c r="J67" s="8">
        <v>3689</v>
      </c>
      <c r="K67" s="8">
        <v>7233</v>
      </c>
      <c r="L67" s="8">
        <v>2826</v>
      </c>
      <c r="M67" s="8">
        <v>7022</v>
      </c>
      <c r="N67" s="8">
        <v>7233</v>
      </c>
      <c r="O67" s="10">
        <v>0.4587</v>
      </c>
      <c r="P67" s="10">
        <v>0.62309999999999999</v>
      </c>
      <c r="Q67" s="10">
        <v>0.49120000000000003</v>
      </c>
      <c r="R67" s="10">
        <v>0.51</v>
      </c>
      <c r="S67" s="8">
        <v>211</v>
      </c>
      <c r="T67" s="8">
        <v>2826</v>
      </c>
      <c r="U67" s="8">
        <v>3149</v>
      </c>
      <c r="V67" s="8">
        <v>4196</v>
      </c>
      <c r="W67" s="8">
        <v>11200.351999999901</v>
      </c>
      <c r="X67" s="8">
        <v>1914819.4240000001</v>
      </c>
      <c r="Y67" s="8">
        <v>518393.87199999997</v>
      </c>
      <c r="Z67" s="8">
        <v>49225.647999999899</v>
      </c>
      <c r="AA67" s="8">
        <v>244987.61600000001</v>
      </c>
      <c r="AB67" s="12">
        <f t="shared" ref="AB67:AB100" si="2">D67-E67</f>
        <v>93548641</v>
      </c>
    </row>
    <row r="68" spans="1:28" x14ac:dyDescent="0.25">
      <c r="A68" t="str">
        <f t="shared" ref="A68:B131" si="3">A67</f>
        <v>Waihou-Piako</v>
      </c>
      <c r="B68" t="str">
        <f>[1]Scenario!H2</f>
        <v>all-enviro-farmers</v>
      </c>
      <c r="C68">
        <v>0</v>
      </c>
      <c r="D68" s="11">
        <v>718336707</v>
      </c>
      <c r="E68" s="11">
        <v>616071747</v>
      </c>
      <c r="F68" s="11">
        <v>200078113</v>
      </c>
      <c r="G68" s="7">
        <v>1020</v>
      </c>
      <c r="H68" s="7">
        <v>381</v>
      </c>
      <c r="I68" s="7">
        <v>934</v>
      </c>
      <c r="J68" s="7">
        <v>983</v>
      </c>
      <c r="K68" s="7">
        <v>9068</v>
      </c>
      <c r="L68" s="7">
        <v>3558</v>
      </c>
      <c r="M68" s="7">
        <v>9000</v>
      </c>
      <c r="N68" s="7">
        <v>9068</v>
      </c>
      <c r="O68" s="9">
        <v>0.1125</v>
      </c>
      <c r="P68" s="9">
        <v>0.1071</v>
      </c>
      <c r="Q68" s="9">
        <v>0.1038</v>
      </c>
      <c r="R68" s="9">
        <v>0.1084</v>
      </c>
      <c r="S68" s="7">
        <v>68</v>
      </c>
      <c r="T68" s="7">
        <v>3558</v>
      </c>
      <c r="U68" s="7">
        <v>1314</v>
      </c>
      <c r="V68" s="7">
        <v>5442</v>
      </c>
      <c r="W68" s="7">
        <v>573476.255999999</v>
      </c>
      <c r="X68" s="7">
        <v>2966620.6879999898</v>
      </c>
      <c r="Y68" s="7">
        <v>1285647.4239999901</v>
      </c>
      <c r="Z68" s="7">
        <v>85011.712</v>
      </c>
      <c r="AA68" s="7">
        <v>523229.087999999</v>
      </c>
      <c r="AB68" s="11">
        <f t="shared" si="2"/>
        <v>102264960</v>
      </c>
    </row>
    <row r="69" spans="1:28" x14ac:dyDescent="0.25">
      <c r="A69" t="str">
        <f t="shared" si="3"/>
        <v>Waihou-Piako</v>
      </c>
      <c r="B69" t="str">
        <f>B68</f>
        <v>all-enviro-farmers</v>
      </c>
      <c r="C69">
        <v>1</v>
      </c>
      <c r="D69" s="11">
        <v>718882591</v>
      </c>
      <c r="E69" s="11">
        <v>615978889</v>
      </c>
      <c r="F69" s="11">
        <v>232811527</v>
      </c>
      <c r="G69" s="7">
        <v>1661</v>
      </c>
      <c r="H69" s="7">
        <v>692</v>
      </c>
      <c r="I69" s="7">
        <v>1597</v>
      </c>
      <c r="J69" s="7">
        <v>1646</v>
      </c>
      <c r="K69" s="7">
        <v>8761</v>
      </c>
      <c r="L69" s="7">
        <v>3441</v>
      </c>
      <c r="M69" s="7">
        <v>8682</v>
      </c>
      <c r="N69" s="7">
        <v>8761</v>
      </c>
      <c r="O69" s="9">
        <v>0.18959999999999999</v>
      </c>
      <c r="P69" s="9">
        <v>0.2011</v>
      </c>
      <c r="Q69" s="9">
        <v>0.18390000000000001</v>
      </c>
      <c r="R69" s="9">
        <v>0.18790000000000001</v>
      </c>
      <c r="S69" s="7">
        <v>79</v>
      </c>
      <c r="T69" s="7">
        <v>3441</v>
      </c>
      <c r="U69" s="7">
        <v>1621</v>
      </c>
      <c r="V69" s="7">
        <v>5241</v>
      </c>
      <c r="W69" s="7">
        <v>573688.81599999999</v>
      </c>
      <c r="X69" s="7">
        <v>2967115.7439999999</v>
      </c>
      <c r="Y69" s="7">
        <v>1284754.656</v>
      </c>
      <c r="Z69" s="7">
        <v>84952.816000000093</v>
      </c>
      <c r="AA69" s="7">
        <v>523171.26400000002</v>
      </c>
      <c r="AB69" s="11">
        <f t="shared" si="2"/>
        <v>102903702</v>
      </c>
    </row>
    <row r="70" spans="1:28" x14ac:dyDescent="0.25">
      <c r="A70" t="str">
        <f t="shared" si="3"/>
        <v>Waihou-Piako</v>
      </c>
      <c r="B70" t="str">
        <f t="shared" si="3"/>
        <v>all-enviro-farmers</v>
      </c>
      <c r="C70">
        <v>2</v>
      </c>
      <c r="D70" s="11">
        <v>714736370</v>
      </c>
      <c r="E70" s="11">
        <v>615103503</v>
      </c>
      <c r="F70" s="11">
        <v>230201450</v>
      </c>
      <c r="G70" s="7">
        <v>2186</v>
      </c>
      <c r="H70" s="7">
        <v>967</v>
      </c>
      <c r="I70" s="7">
        <v>2277</v>
      </c>
      <c r="J70" s="7">
        <v>2391</v>
      </c>
      <c r="K70" s="7">
        <v>8545</v>
      </c>
      <c r="L70" s="7">
        <v>3323</v>
      </c>
      <c r="M70" s="7">
        <v>8455</v>
      </c>
      <c r="N70" s="7">
        <v>8545</v>
      </c>
      <c r="O70" s="9">
        <v>0.25580000000000003</v>
      </c>
      <c r="P70" s="9">
        <v>0.29099999999999998</v>
      </c>
      <c r="Q70" s="9">
        <v>0.26929999999999998</v>
      </c>
      <c r="R70" s="9">
        <v>0.27979999999999999</v>
      </c>
      <c r="S70" s="7">
        <v>90</v>
      </c>
      <c r="T70" s="7">
        <v>3323</v>
      </c>
      <c r="U70" s="7">
        <v>1837</v>
      </c>
      <c r="V70" s="7">
        <v>5132</v>
      </c>
      <c r="W70" s="7">
        <v>468477.85600000003</v>
      </c>
      <c r="X70" s="7">
        <v>2706491.7280000001</v>
      </c>
      <c r="Y70" s="7">
        <v>1054887.64799999</v>
      </c>
      <c r="Z70" s="7">
        <v>74887.328000000096</v>
      </c>
      <c r="AA70" s="7">
        <v>448762.16</v>
      </c>
      <c r="AB70" s="11">
        <f t="shared" si="2"/>
        <v>99632867</v>
      </c>
    </row>
    <row r="71" spans="1:28" x14ac:dyDescent="0.25">
      <c r="A71" t="str">
        <f t="shared" si="3"/>
        <v>Waihou-Piako</v>
      </c>
      <c r="B71" t="str">
        <f t="shared" si="3"/>
        <v>all-enviro-farmers</v>
      </c>
      <c r="C71">
        <v>3</v>
      </c>
      <c r="D71" s="11">
        <v>708412792</v>
      </c>
      <c r="E71" s="11">
        <v>611582929</v>
      </c>
      <c r="F71" s="11">
        <v>206540635</v>
      </c>
      <c r="G71" s="7">
        <v>2726</v>
      </c>
      <c r="H71" s="7">
        <v>1316</v>
      </c>
      <c r="I71" s="7">
        <v>2734</v>
      </c>
      <c r="J71" s="7">
        <v>3134</v>
      </c>
      <c r="K71" s="7">
        <v>8391</v>
      </c>
      <c r="L71" s="7">
        <v>3231</v>
      </c>
      <c r="M71" s="7">
        <v>8275</v>
      </c>
      <c r="N71" s="7">
        <v>8391</v>
      </c>
      <c r="O71" s="9">
        <v>0.32490000000000002</v>
      </c>
      <c r="P71" s="9">
        <v>0.4073</v>
      </c>
      <c r="Q71" s="9">
        <v>0.33040000000000003</v>
      </c>
      <c r="R71" s="9">
        <v>0.3735</v>
      </c>
      <c r="S71" s="7">
        <v>116</v>
      </c>
      <c r="T71" s="7">
        <v>3231</v>
      </c>
      <c r="U71" s="7">
        <v>1991</v>
      </c>
      <c r="V71" s="7">
        <v>5044</v>
      </c>
      <c r="W71" s="7">
        <v>388477.29599999997</v>
      </c>
      <c r="X71" s="7">
        <v>2482995.1359999902</v>
      </c>
      <c r="Y71" s="7">
        <v>857198.54400000104</v>
      </c>
      <c r="Z71" s="7">
        <v>66486.495999999897</v>
      </c>
      <c r="AA71" s="7">
        <v>385925.103999999</v>
      </c>
      <c r="AB71" s="11">
        <f t="shared" si="2"/>
        <v>96829863</v>
      </c>
    </row>
    <row r="72" spans="1:28" x14ac:dyDescent="0.25">
      <c r="A72" t="str">
        <f t="shared" si="3"/>
        <v>Waihou-Piako</v>
      </c>
      <c r="B72" t="str">
        <f t="shared" si="3"/>
        <v>all-enviro-farmers</v>
      </c>
      <c r="C72">
        <v>4</v>
      </c>
      <c r="D72" s="11">
        <v>701759015</v>
      </c>
      <c r="E72" s="11">
        <v>608008894</v>
      </c>
      <c r="F72" s="11">
        <v>189660016</v>
      </c>
      <c r="G72" s="7">
        <v>3225</v>
      </c>
      <c r="H72" s="7">
        <v>1469</v>
      </c>
      <c r="I72" s="7">
        <v>3333</v>
      </c>
      <c r="J72" s="7">
        <v>3695</v>
      </c>
      <c r="K72" s="7">
        <v>8274</v>
      </c>
      <c r="L72" s="7">
        <v>3179</v>
      </c>
      <c r="M72" s="7">
        <v>8151</v>
      </c>
      <c r="N72" s="7">
        <v>8274</v>
      </c>
      <c r="O72" s="9">
        <v>0.38979999999999998</v>
      </c>
      <c r="P72" s="9">
        <v>0.46210000000000001</v>
      </c>
      <c r="Q72" s="9">
        <v>0.40889999999999999</v>
      </c>
      <c r="R72" s="9">
        <v>0.4466</v>
      </c>
      <c r="S72" s="7">
        <v>123</v>
      </c>
      <c r="T72" s="7">
        <v>3179</v>
      </c>
      <c r="U72" s="7">
        <v>2108</v>
      </c>
      <c r="V72" s="7">
        <v>4972</v>
      </c>
      <c r="W72" s="7">
        <v>326116.28799999901</v>
      </c>
      <c r="X72" s="7">
        <v>2304891.3439999898</v>
      </c>
      <c r="Y72" s="7">
        <v>690401.2</v>
      </c>
      <c r="Z72" s="7">
        <v>59629.663999999997</v>
      </c>
      <c r="AA72" s="7">
        <v>330472.8</v>
      </c>
      <c r="AB72" s="11">
        <f t="shared" si="2"/>
        <v>93750121</v>
      </c>
    </row>
    <row r="73" spans="1:28" x14ac:dyDescent="0.25">
      <c r="A73" t="str">
        <f t="shared" si="3"/>
        <v>Waihou-Piako</v>
      </c>
      <c r="B73" t="str">
        <f t="shared" si="3"/>
        <v>all-enviro-farmers</v>
      </c>
      <c r="C73">
        <v>5</v>
      </c>
      <c r="D73" s="11">
        <v>699266199</v>
      </c>
      <c r="E73" s="11">
        <v>607227122</v>
      </c>
      <c r="F73" s="11">
        <v>188334737</v>
      </c>
      <c r="G73" s="7">
        <v>3807</v>
      </c>
      <c r="H73" s="7">
        <v>1769</v>
      </c>
      <c r="I73" s="7">
        <v>3734</v>
      </c>
      <c r="J73" s="7">
        <v>4232</v>
      </c>
      <c r="K73" s="7">
        <v>8118</v>
      </c>
      <c r="L73" s="7">
        <v>3112</v>
      </c>
      <c r="M73" s="7">
        <v>7988</v>
      </c>
      <c r="N73" s="7">
        <v>8118</v>
      </c>
      <c r="O73" s="9">
        <v>0.46899999999999997</v>
      </c>
      <c r="P73" s="9">
        <v>0.56840000000000002</v>
      </c>
      <c r="Q73" s="9">
        <v>0.46750000000000003</v>
      </c>
      <c r="R73" s="9">
        <v>0.52129999999999999</v>
      </c>
      <c r="S73" s="7">
        <v>130</v>
      </c>
      <c r="T73" s="7">
        <v>3112</v>
      </c>
      <c r="U73" s="7">
        <v>2264</v>
      </c>
      <c r="V73" s="7">
        <v>4876</v>
      </c>
      <c r="W73" s="7">
        <v>279341.90399999998</v>
      </c>
      <c r="X73" s="7">
        <v>2126470.8640000001</v>
      </c>
      <c r="Y73" s="7">
        <v>568004.89599999995</v>
      </c>
      <c r="Z73" s="7">
        <v>53459.999999999804</v>
      </c>
      <c r="AA73" s="7">
        <v>289378.78399999999</v>
      </c>
      <c r="AB73" s="11">
        <f t="shared" si="2"/>
        <v>92039077</v>
      </c>
    </row>
    <row r="74" spans="1:28" x14ac:dyDescent="0.25">
      <c r="A74" t="str">
        <f t="shared" si="3"/>
        <v>Waihou-Piako</v>
      </c>
      <c r="B74" t="str">
        <f t="shared" si="3"/>
        <v>all-enviro-farmers</v>
      </c>
      <c r="C74">
        <v>6</v>
      </c>
      <c r="D74" s="11">
        <v>696307822</v>
      </c>
      <c r="E74" s="11">
        <v>607187081</v>
      </c>
      <c r="F74" s="11">
        <v>185530148</v>
      </c>
      <c r="G74" s="7">
        <v>4078</v>
      </c>
      <c r="H74" s="7">
        <v>2038</v>
      </c>
      <c r="I74" s="7">
        <v>4412</v>
      </c>
      <c r="J74" s="7">
        <v>4555</v>
      </c>
      <c r="K74" s="7">
        <v>8025</v>
      </c>
      <c r="L74" s="7">
        <v>3060</v>
      </c>
      <c r="M74" s="7">
        <v>7875</v>
      </c>
      <c r="N74" s="7">
        <v>8025</v>
      </c>
      <c r="O74" s="9">
        <v>0.50819999999999999</v>
      </c>
      <c r="P74" s="9">
        <v>0.66600000000000004</v>
      </c>
      <c r="Q74" s="9">
        <v>0.56030000000000002</v>
      </c>
      <c r="R74" s="9">
        <v>0.56759999999999999</v>
      </c>
      <c r="S74" s="7">
        <v>150</v>
      </c>
      <c r="T74" s="7">
        <v>3060</v>
      </c>
      <c r="U74" s="7">
        <v>2357</v>
      </c>
      <c r="V74" s="7">
        <v>4815</v>
      </c>
      <c r="W74" s="7">
        <v>224375.96799999999</v>
      </c>
      <c r="X74" s="7">
        <v>1968386.01599999</v>
      </c>
      <c r="Y74" s="7">
        <v>477303.61599999899</v>
      </c>
      <c r="Z74" s="7">
        <v>47946.016000000003</v>
      </c>
      <c r="AA74" s="7">
        <v>247731.04</v>
      </c>
      <c r="AB74" s="11">
        <f t="shared" si="2"/>
        <v>89120741</v>
      </c>
    </row>
    <row r="75" spans="1:28" x14ac:dyDescent="0.25">
      <c r="A75" t="str">
        <f t="shared" si="3"/>
        <v>Waihou-Piako</v>
      </c>
      <c r="B75" t="str">
        <f t="shared" si="3"/>
        <v>all-enviro-farmers</v>
      </c>
      <c r="C75">
        <v>7</v>
      </c>
      <c r="D75" s="11">
        <v>692629887</v>
      </c>
      <c r="E75" s="11">
        <v>606138374</v>
      </c>
      <c r="F75" s="11">
        <v>170464897</v>
      </c>
      <c r="G75" s="7">
        <v>4608</v>
      </c>
      <c r="H75" s="7">
        <v>2210</v>
      </c>
      <c r="I75" s="7">
        <v>4784</v>
      </c>
      <c r="J75" s="7">
        <v>4871</v>
      </c>
      <c r="K75" s="7">
        <v>7896</v>
      </c>
      <c r="L75" s="7">
        <v>2982</v>
      </c>
      <c r="M75" s="7">
        <v>7738</v>
      </c>
      <c r="N75" s="7">
        <v>7896</v>
      </c>
      <c r="O75" s="9">
        <v>0.58360000000000001</v>
      </c>
      <c r="P75" s="9">
        <v>0.74109999999999998</v>
      </c>
      <c r="Q75" s="9">
        <v>0.61819999999999997</v>
      </c>
      <c r="R75" s="9">
        <v>0.6169</v>
      </c>
      <c r="S75" s="7">
        <v>158</v>
      </c>
      <c r="T75" s="7">
        <v>2982</v>
      </c>
      <c r="U75" s="7">
        <v>2486</v>
      </c>
      <c r="V75" s="7">
        <v>4756</v>
      </c>
      <c r="W75" s="7">
        <v>186175.53599999999</v>
      </c>
      <c r="X75" s="7">
        <v>1874476.3839999901</v>
      </c>
      <c r="Y75" s="7">
        <v>407325.11999999901</v>
      </c>
      <c r="Z75" s="7">
        <v>44523.856000000102</v>
      </c>
      <c r="AA75" s="7">
        <v>223507.024</v>
      </c>
      <c r="AB75" s="11">
        <f t="shared" si="2"/>
        <v>86491513</v>
      </c>
    </row>
    <row r="76" spans="1:28" x14ac:dyDescent="0.25">
      <c r="A76" t="str">
        <f t="shared" si="3"/>
        <v>Waihou-Piako</v>
      </c>
      <c r="B76" t="str">
        <f t="shared" si="3"/>
        <v>all-enviro-farmers</v>
      </c>
      <c r="C76">
        <v>8</v>
      </c>
      <c r="D76" s="11">
        <v>687947590</v>
      </c>
      <c r="E76" s="11">
        <v>603635222</v>
      </c>
      <c r="F76" s="11">
        <v>155493201</v>
      </c>
      <c r="G76" s="7">
        <v>4980</v>
      </c>
      <c r="H76" s="7">
        <v>2226</v>
      </c>
      <c r="I76" s="7">
        <v>5075</v>
      </c>
      <c r="J76" s="7">
        <v>5073</v>
      </c>
      <c r="K76" s="7">
        <v>7859</v>
      </c>
      <c r="L76" s="7">
        <v>2933</v>
      </c>
      <c r="M76" s="7">
        <v>7680</v>
      </c>
      <c r="N76" s="7">
        <v>7859</v>
      </c>
      <c r="O76" s="9">
        <v>0.63370000000000004</v>
      </c>
      <c r="P76" s="9">
        <v>0.75890000000000002</v>
      </c>
      <c r="Q76" s="9">
        <v>0.66080000000000005</v>
      </c>
      <c r="R76" s="9">
        <v>0.64549999999999996</v>
      </c>
      <c r="S76" s="7">
        <v>179</v>
      </c>
      <c r="T76" s="7">
        <v>2933</v>
      </c>
      <c r="U76" s="7">
        <v>2523</v>
      </c>
      <c r="V76" s="7">
        <v>4747</v>
      </c>
      <c r="W76" s="7">
        <v>136920.60800000001</v>
      </c>
      <c r="X76" s="7">
        <v>1763093.8399999901</v>
      </c>
      <c r="Y76" s="7">
        <v>352607.424</v>
      </c>
      <c r="Z76" s="7">
        <v>40933.791999999899</v>
      </c>
      <c r="AA76" s="7">
        <v>197538.46400000001</v>
      </c>
      <c r="AB76" s="11">
        <f t="shared" si="2"/>
        <v>84312368</v>
      </c>
    </row>
    <row r="77" spans="1:28" x14ac:dyDescent="0.25">
      <c r="A77" t="str">
        <f t="shared" si="3"/>
        <v>Waihou-Piako</v>
      </c>
      <c r="B77" t="str">
        <f t="shared" si="3"/>
        <v>all-enviro-farmers</v>
      </c>
      <c r="C77">
        <v>9</v>
      </c>
      <c r="D77" s="11">
        <v>682891420</v>
      </c>
      <c r="E77" s="11">
        <v>600228094</v>
      </c>
      <c r="F77" s="11">
        <v>158535616</v>
      </c>
      <c r="G77" s="7">
        <v>5196</v>
      </c>
      <c r="H77" s="7">
        <v>2328</v>
      </c>
      <c r="I77" s="7">
        <v>5287</v>
      </c>
      <c r="J77" s="7">
        <v>5188</v>
      </c>
      <c r="K77" s="7">
        <v>7701</v>
      </c>
      <c r="L77" s="7">
        <v>2873</v>
      </c>
      <c r="M77" s="7">
        <v>7511</v>
      </c>
      <c r="N77" s="7">
        <v>7701</v>
      </c>
      <c r="O77" s="9">
        <v>0.67469999999999997</v>
      </c>
      <c r="P77" s="9">
        <v>0.81030000000000002</v>
      </c>
      <c r="Q77" s="9">
        <v>0.70389999999999997</v>
      </c>
      <c r="R77" s="9">
        <v>0.67369999999999997</v>
      </c>
      <c r="S77" s="7">
        <v>190</v>
      </c>
      <c r="T77" s="7">
        <v>2873</v>
      </c>
      <c r="U77" s="7">
        <v>2681</v>
      </c>
      <c r="V77" s="7">
        <v>4638</v>
      </c>
      <c r="W77" s="7">
        <v>114982.399999999</v>
      </c>
      <c r="X77" s="7">
        <v>1704764.0160000001</v>
      </c>
      <c r="Y77" s="7">
        <v>335782.8</v>
      </c>
      <c r="Z77" s="7">
        <v>39100.559999999998</v>
      </c>
      <c r="AA77" s="7">
        <v>183787.90400000001</v>
      </c>
      <c r="AB77" s="11">
        <f t="shared" si="2"/>
        <v>82663326</v>
      </c>
    </row>
    <row r="78" spans="1:28" x14ac:dyDescent="0.25">
      <c r="A78" s="5" t="str">
        <f t="shared" si="3"/>
        <v>Waihou-Piako</v>
      </c>
      <c r="B78" s="5" t="str">
        <f t="shared" si="3"/>
        <v>all-enviro-farmers</v>
      </c>
      <c r="C78" s="5">
        <v>10</v>
      </c>
      <c r="D78" s="12">
        <v>683209420</v>
      </c>
      <c r="E78" s="12">
        <v>599846522</v>
      </c>
      <c r="F78" s="12">
        <v>186088086</v>
      </c>
      <c r="G78" s="8">
        <v>5318</v>
      </c>
      <c r="H78" s="8">
        <v>2468</v>
      </c>
      <c r="I78" s="8">
        <v>5454</v>
      </c>
      <c r="J78" s="8">
        <v>5310</v>
      </c>
      <c r="K78" s="8">
        <v>7501</v>
      </c>
      <c r="L78" s="8">
        <v>2746</v>
      </c>
      <c r="M78" s="8">
        <v>7302</v>
      </c>
      <c r="N78" s="8">
        <v>7501</v>
      </c>
      <c r="O78" s="10">
        <v>0.70899999999999996</v>
      </c>
      <c r="P78" s="10">
        <v>0.89880000000000004</v>
      </c>
      <c r="Q78" s="10">
        <v>0.74690000000000001</v>
      </c>
      <c r="R78" s="10">
        <v>0.70789999999999997</v>
      </c>
      <c r="S78" s="8">
        <v>199</v>
      </c>
      <c r="T78" s="8">
        <v>2746</v>
      </c>
      <c r="U78" s="8">
        <v>2881</v>
      </c>
      <c r="V78" s="8">
        <v>4556</v>
      </c>
      <c r="W78" s="8">
        <v>62510.495999999999</v>
      </c>
      <c r="X78" s="8">
        <v>1627959.6159999899</v>
      </c>
      <c r="Y78" s="8">
        <v>318220.33599999902</v>
      </c>
      <c r="Z78" s="8">
        <v>37216.144</v>
      </c>
      <c r="AA78" s="8">
        <v>169358.91200000001</v>
      </c>
      <c r="AB78" s="12">
        <f t="shared" si="2"/>
        <v>83362898</v>
      </c>
    </row>
    <row r="79" spans="1:28" x14ac:dyDescent="0.25">
      <c r="A79" t="str">
        <f t="shared" si="3"/>
        <v>Waihou-Piako</v>
      </c>
      <c r="B79" t="str">
        <f>[1]Scenario!I2</f>
        <v>high-tech-change</v>
      </c>
      <c r="C79">
        <v>0</v>
      </c>
      <c r="D79" s="11">
        <v>718336707</v>
      </c>
      <c r="E79" s="11">
        <v>616071747</v>
      </c>
      <c r="F79" s="11">
        <v>200078113</v>
      </c>
      <c r="G79" s="7">
        <v>1020</v>
      </c>
      <c r="H79" s="7">
        <v>381</v>
      </c>
      <c r="I79" s="7">
        <v>934</v>
      </c>
      <c r="J79" s="7">
        <v>983</v>
      </c>
      <c r="K79" s="7">
        <v>9068</v>
      </c>
      <c r="L79" s="7">
        <v>3558</v>
      </c>
      <c r="M79" s="7">
        <v>9000</v>
      </c>
      <c r="N79" s="7">
        <v>9068</v>
      </c>
      <c r="O79" s="9">
        <v>0.1125</v>
      </c>
      <c r="P79" s="9">
        <v>0.1071</v>
      </c>
      <c r="Q79" s="9">
        <v>0.1038</v>
      </c>
      <c r="R79" s="9">
        <v>0.1084</v>
      </c>
      <c r="S79" s="7">
        <v>68</v>
      </c>
      <c r="T79" s="7">
        <v>3558</v>
      </c>
      <c r="U79" s="7">
        <v>1314</v>
      </c>
      <c r="V79" s="7">
        <v>5442</v>
      </c>
      <c r="W79" s="7">
        <v>573476.255999999</v>
      </c>
      <c r="X79" s="7">
        <v>2966620.6879999898</v>
      </c>
      <c r="Y79" s="7">
        <v>1285647.4239999901</v>
      </c>
      <c r="Z79" s="7">
        <v>85011.712</v>
      </c>
      <c r="AA79" s="7">
        <v>523229.087999999</v>
      </c>
      <c r="AB79" s="11">
        <f t="shared" si="2"/>
        <v>102264960</v>
      </c>
    </row>
    <row r="80" spans="1:28" x14ac:dyDescent="0.25">
      <c r="A80" t="str">
        <f t="shared" si="3"/>
        <v>Waihou-Piako</v>
      </c>
      <c r="B80" t="str">
        <f>B79</f>
        <v>high-tech-change</v>
      </c>
      <c r="C80">
        <v>1</v>
      </c>
      <c r="D80" s="11">
        <v>718882591</v>
      </c>
      <c r="E80" s="11">
        <v>615978889</v>
      </c>
      <c r="F80" s="11">
        <v>241774176</v>
      </c>
      <c r="G80" s="7">
        <v>1415</v>
      </c>
      <c r="H80" s="7">
        <v>595</v>
      </c>
      <c r="I80" s="7">
        <v>1351</v>
      </c>
      <c r="J80" s="7">
        <v>1411</v>
      </c>
      <c r="K80" s="7">
        <v>8761</v>
      </c>
      <c r="L80" s="7">
        <v>3441</v>
      </c>
      <c r="M80" s="7">
        <v>8682</v>
      </c>
      <c r="N80" s="7">
        <v>8761</v>
      </c>
      <c r="O80" s="9">
        <v>0.1615</v>
      </c>
      <c r="P80" s="9">
        <v>0.1729</v>
      </c>
      <c r="Q80" s="9">
        <v>0.15559999999999999</v>
      </c>
      <c r="R80" s="9">
        <v>0.16109999999999999</v>
      </c>
      <c r="S80" s="7">
        <v>79</v>
      </c>
      <c r="T80" s="7">
        <v>3441</v>
      </c>
      <c r="U80" s="7">
        <v>1621</v>
      </c>
      <c r="V80" s="7">
        <v>5241</v>
      </c>
      <c r="W80" s="7">
        <v>573688.81600000104</v>
      </c>
      <c r="X80" s="7">
        <v>2967115.7439999999</v>
      </c>
      <c r="Y80" s="7">
        <v>1284754.656</v>
      </c>
      <c r="Z80" s="7">
        <v>84952.815999999904</v>
      </c>
      <c r="AA80" s="7">
        <v>523171.26400000002</v>
      </c>
      <c r="AB80" s="11">
        <f t="shared" si="2"/>
        <v>102903702</v>
      </c>
    </row>
    <row r="81" spans="1:28" x14ac:dyDescent="0.25">
      <c r="A81" t="str">
        <f t="shared" si="3"/>
        <v>Waihou-Piako</v>
      </c>
      <c r="B81" t="str">
        <f t="shared" si="3"/>
        <v>high-tech-change</v>
      </c>
      <c r="C81">
        <v>2</v>
      </c>
      <c r="D81" s="11">
        <v>752263686</v>
      </c>
      <c r="E81" s="11">
        <v>615312997</v>
      </c>
      <c r="F81" s="11">
        <v>254621562</v>
      </c>
      <c r="G81" s="7">
        <v>1778</v>
      </c>
      <c r="H81" s="7">
        <v>781</v>
      </c>
      <c r="I81" s="7">
        <v>1761</v>
      </c>
      <c r="J81" s="7">
        <v>1822</v>
      </c>
      <c r="K81" s="7">
        <v>8529</v>
      </c>
      <c r="L81" s="7">
        <v>3350</v>
      </c>
      <c r="M81" s="7">
        <v>8451</v>
      </c>
      <c r="N81" s="7">
        <v>8529</v>
      </c>
      <c r="O81" s="9">
        <v>0.20849999999999999</v>
      </c>
      <c r="P81" s="9">
        <v>0.2331</v>
      </c>
      <c r="Q81" s="9">
        <v>0.2084</v>
      </c>
      <c r="R81" s="9">
        <v>0.21360000000000001</v>
      </c>
      <c r="S81" s="7">
        <v>78</v>
      </c>
      <c r="T81" s="7">
        <v>3350</v>
      </c>
      <c r="U81" s="7">
        <v>1853</v>
      </c>
      <c r="V81" s="7">
        <v>5101</v>
      </c>
      <c r="W81" s="7">
        <v>473558.97600000002</v>
      </c>
      <c r="X81" s="7">
        <v>2770889.6159999999</v>
      </c>
      <c r="Y81" s="7">
        <v>1128166.784</v>
      </c>
      <c r="Z81" s="7">
        <v>77986.047999999995</v>
      </c>
      <c r="AA81" s="7">
        <v>470136.255999999</v>
      </c>
      <c r="AB81" s="11">
        <f t="shared" si="2"/>
        <v>136950689</v>
      </c>
    </row>
    <row r="82" spans="1:28" x14ac:dyDescent="0.25">
      <c r="A82" t="str">
        <f t="shared" si="3"/>
        <v>Waihou-Piako</v>
      </c>
      <c r="B82" t="str">
        <f t="shared" si="3"/>
        <v>high-tech-change</v>
      </c>
      <c r="C82">
        <v>3</v>
      </c>
      <c r="D82" s="11">
        <v>749115047</v>
      </c>
      <c r="E82" s="11">
        <v>613916631</v>
      </c>
      <c r="F82" s="11">
        <v>284357792</v>
      </c>
      <c r="G82" s="7">
        <v>2076</v>
      </c>
      <c r="H82" s="7">
        <v>942</v>
      </c>
      <c r="I82" s="7">
        <v>2009</v>
      </c>
      <c r="J82" s="7">
        <v>2276</v>
      </c>
      <c r="K82" s="7">
        <v>8320</v>
      </c>
      <c r="L82" s="7">
        <v>3263</v>
      </c>
      <c r="M82" s="7">
        <v>8248</v>
      </c>
      <c r="N82" s="7">
        <v>8320</v>
      </c>
      <c r="O82" s="9">
        <v>0.2495</v>
      </c>
      <c r="P82" s="9">
        <v>0.28870000000000001</v>
      </c>
      <c r="Q82" s="9">
        <v>0.24360000000000001</v>
      </c>
      <c r="R82" s="9">
        <v>0.27360000000000001</v>
      </c>
      <c r="S82" s="7">
        <v>72</v>
      </c>
      <c r="T82" s="7">
        <v>3263</v>
      </c>
      <c r="U82" s="7">
        <v>2062</v>
      </c>
      <c r="V82" s="7">
        <v>4985</v>
      </c>
      <c r="W82" s="7">
        <v>394691.408</v>
      </c>
      <c r="X82" s="7">
        <v>2613178.4640000002</v>
      </c>
      <c r="Y82" s="7">
        <v>980795.87199999904</v>
      </c>
      <c r="Z82" s="7">
        <v>72069.279999999897</v>
      </c>
      <c r="AA82" s="7">
        <v>423698.815999999</v>
      </c>
      <c r="AB82" s="11">
        <f t="shared" si="2"/>
        <v>135198416</v>
      </c>
    </row>
    <row r="83" spans="1:28" x14ac:dyDescent="0.25">
      <c r="A83" t="str">
        <f t="shared" si="3"/>
        <v>Waihou-Piako</v>
      </c>
      <c r="B83" t="str">
        <f t="shared" si="3"/>
        <v>high-tech-change</v>
      </c>
      <c r="C83">
        <v>4</v>
      </c>
      <c r="D83" s="11">
        <v>745109066</v>
      </c>
      <c r="E83" s="11">
        <v>611684889</v>
      </c>
      <c r="F83" s="11">
        <v>276200194</v>
      </c>
      <c r="G83" s="7">
        <v>2313</v>
      </c>
      <c r="H83" s="7">
        <v>1146</v>
      </c>
      <c r="I83" s="7">
        <v>2320</v>
      </c>
      <c r="J83" s="7">
        <v>2485</v>
      </c>
      <c r="K83" s="7">
        <v>8194</v>
      </c>
      <c r="L83" s="7">
        <v>3205</v>
      </c>
      <c r="M83" s="7">
        <v>8110</v>
      </c>
      <c r="N83" s="7">
        <v>8194</v>
      </c>
      <c r="O83" s="9">
        <v>0.2823</v>
      </c>
      <c r="P83" s="9">
        <v>0.35759999999999997</v>
      </c>
      <c r="Q83" s="9">
        <v>0.28610000000000002</v>
      </c>
      <c r="R83" s="9">
        <v>0.30330000000000001</v>
      </c>
      <c r="S83" s="7">
        <v>84</v>
      </c>
      <c r="T83" s="7">
        <v>3205</v>
      </c>
      <c r="U83" s="7">
        <v>2188</v>
      </c>
      <c r="V83" s="7">
        <v>4905</v>
      </c>
      <c r="W83" s="7">
        <v>324008.83199999901</v>
      </c>
      <c r="X83" s="7">
        <v>2456951.8560000001</v>
      </c>
      <c r="Y83" s="7">
        <v>880864.20799999998</v>
      </c>
      <c r="Z83" s="7">
        <v>66840.336000000098</v>
      </c>
      <c r="AA83" s="7">
        <v>384825.80800000002</v>
      </c>
      <c r="AB83" s="11">
        <f t="shared" si="2"/>
        <v>133424177</v>
      </c>
    </row>
    <row r="84" spans="1:28" x14ac:dyDescent="0.25">
      <c r="A84" t="str">
        <f t="shared" si="3"/>
        <v>Waihou-Piako</v>
      </c>
      <c r="B84" t="str">
        <f t="shared" si="3"/>
        <v>high-tech-change</v>
      </c>
      <c r="C84">
        <v>5</v>
      </c>
      <c r="D84" s="11">
        <v>742585913</v>
      </c>
      <c r="E84" s="11">
        <v>609636751</v>
      </c>
      <c r="F84" s="11">
        <v>265283697</v>
      </c>
      <c r="G84" s="7">
        <v>2657</v>
      </c>
      <c r="H84" s="7">
        <v>1291</v>
      </c>
      <c r="I84" s="7">
        <v>2640</v>
      </c>
      <c r="J84" s="7">
        <v>2806</v>
      </c>
      <c r="K84" s="7">
        <v>8072</v>
      </c>
      <c r="L84" s="7">
        <v>3118</v>
      </c>
      <c r="M84" s="7">
        <v>7975</v>
      </c>
      <c r="N84" s="7">
        <v>8072</v>
      </c>
      <c r="O84" s="9">
        <v>0.32919999999999999</v>
      </c>
      <c r="P84" s="9">
        <v>0.41399999999999998</v>
      </c>
      <c r="Q84" s="9">
        <v>0.33100000000000002</v>
      </c>
      <c r="R84" s="9">
        <v>0.34760000000000002</v>
      </c>
      <c r="S84" s="7">
        <v>97</v>
      </c>
      <c r="T84" s="7">
        <v>3118</v>
      </c>
      <c r="U84" s="7">
        <v>2310</v>
      </c>
      <c r="V84" s="7">
        <v>4857</v>
      </c>
      <c r="W84" s="7">
        <v>277180.52799999999</v>
      </c>
      <c r="X84" s="7">
        <v>2368137.8719999902</v>
      </c>
      <c r="Y84" s="7">
        <v>800114.35199999902</v>
      </c>
      <c r="Z84" s="7">
        <v>63539.504000000103</v>
      </c>
      <c r="AA84" s="7">
        <v>357164.79999999999</v>
      </c>
      <c r="AB84" s="11">
        <f t="shared" si="2"/>
        <v>132949162</v>
      </c>
    </row>
    <row r="85" spans="1:28" x14ac:dyDescent="0.25">
      <c r="A85" t="str">
        <f t="shared" si="3"/>
        <v>Waihou-Piako</v>
      </c>
      <c r="B85" t="str">
        <f t="shared" si="3"/>
        <v>high-tech-change</v>
      </c>
      <c r="C85">
        <v>6</v>
      </c>
      <c r="D85" s="11">
        <v>736940609</v>
      </c>
      <c r="E85" s="11">
        <v>608243980</v>
      </c>
      <c r="F85" s="11">
        <v>242535178</v>
      </c>
      <c r="G85" s="7">
        <v>2979</v>
      </c>
      <c r="H85" s="7">
        <v>1458</v>
      </c>
      <c r="I85" s="7">
        <v>2991</v>
      </c>
      <c r="J85" s="7">
        <v>3306</v>
      </c>
      <c r="K85" s="7">
        <v>7966</v>
      </c>
      <c r="L85" s="7">
        <v>3087</v>
      </c>
      <c r="M85" s="7">
        <v>7842</v>
      </c>
      <c r="N85" s="7">
        <v>7966</v>
      </c>
      <c r="O85" s="9">
        <v>0.374</v>
      </c>
      <c r="P85" s="9">
        <v>0.4723</v>
      </c>
      <c r="Q85" s="9">
        <v>0.38140000000000002</v>
      </c>
      <c r="R85" s="9">
        <v>0.41499999999999998</v>
      </c>
      <c r="S85" s="7">
        <v>124</v>
      </c>
      <c r="T85" s="7">
        <v>3087</v>
      </c>
      <c r="U85" s="7">
        <v>2416</v>
      </c>
      <c r="V85" s="7">
        <v>4755</v>
      </c>
      <c r="W85" s="7">
        <v>232646.22399999999</v>
      </c>
      <c r="X85" s="7">
        <v>2242380.4639999899</v>
      </c>
      <c r="Y85" s="7">
        <v>715963.34399999899</v>
      </c>
      <c r="Z85" s="7">
        <v>59423.807999999903</v>
      </c>
      <c r="AA85" s="7">
        <v>326545.45600000001</v>
      </c>
      <c r="AB85" s="11">
        <f t="shared" si="2"/>
        <v>128696629</v>
      </c>
    </row>
    <row r="86" spans="1:28" x14ac:dyDescent="0.25">
      <c r="A86" t="str">
        <f t="shared" si="3"/>
        <v>Waihou-Piako</v>
      </c>
      <c r="B86" t="str">
        <f t="shared" si="3"/>
        <v>high-tech-change</v>
      </c>
      <c r="C86">
        <v>7</v>
      </c>
      <c r="D86" s="11">
        <v>737643006</v>
      </c>
      <c r="E86" s="11">
        <v>608935391</v>
      </c>
      <c r="F86" s="11">
        <v>240083772</v>
      </c>
      <c r="G86" s="7">
        <v>3268</v>
      </c>
      <c r="H86" s="7">
        <v>1549</v>
      </c>
      <c r="I86" s="7">
        <v>3227</v>
      </c>
      <c r="J86" s="7">
        <v>3463</v>
      </c>
      <c r="K86" s="7">
        <v>7869</v>
      </c>
      <c r="L86" s="7">
        <v>3029</v>
      </c>
      <c r="M86" s="7">
        <v>7731</v>
      </c>
      <c r="N86" s="7">
        <v>7869</v>
      </c>
      <c r="O86" s="9">
        <v>0.4153</v>
      </c>
      <c r="P86" s="9">
        <v>0.51139999999999997</v>
      </c>
      <c r="Q86" s="9">
        <v>0.41739999999999999</v>
      </c>
      <c r="R86" s="9">
        <v>0.44009999999999999</v>
      </c>
      <c r="S86" s="7">
        <v>138</v>
      </c>
      <c r="T86" s="7">
        <v>3029</v>
      </c>
      <c r="U86" s="7">
        <v>2513</v>
      </c>
      <c r="V86" s="7">
        <v>4702</v>
      </c>
      <c r="W86" s="7">
        <v>193040.76800000001</v>
      </c>
      <c r="X86" s="7">
        <v>2137166.048</v>
      </c>
      <c r="Y86" s="7">
        <v>598799.647999999</v>
      </c>
      <c r="Z86" s="7">
        <v>55316.495999999999</v>
      </c>
      <c r="AA86" s="7">
        <v>289386.495999999</v>
      </c>
      <c r="AB86" s="11">
        <f t="shared" si="2"/>
        <v>128707615</v>
      </c>
    </row>
    <row r="87" spans="1:28" x14ac:dyDescent="0.25">
      <c r="A87" t="str">
        <f t="shared" si="3"/>
        <v>Waihou-Piako</v>
      </c>
      <c r="B87" t="str">
        <f t="shared" si="3"/>
        <v>high-tech-change</v>
      </c>
      <c r="C87">
        <v>8</v>
      </c>
      <c r="D87" s="11">
        <v>734254809</v>
      </c>
      <c r="E87" s="11">
        <v>606652283</v>
      </c>
      <c r="F87" s="11">
        <v>242551622</v>
      </c>
      <c r="G87" s="7">
        <v>3375</v>
      </c>
      <c r="H87" s="7">
        <v>1623</v>
      </c>
      <c r="I87" s="7">
        <v>3532</v>
      </c>
      <c r="J87" s="7">
        <v>3700</v>
      </c>
      <c r="K87" s="7">
        <v>7782</v>
      </c>
      <c r="L87" s="7">
        <v>3037</v>
      </c>
      <c r="M87" s="7">
        <v>7631</v>
      </c>
      <c r="N87" s="7">
        <v>7782</v>
      </c>
      <c r="O87" s="9">
        <v>0.43369999999999997</v>
      </c>
      <c r="P87" s="9">
        <v>0.53439999999999999</v>
      </c>
      <c r="Q87" s="9">
        <v>0.46279999999999999</v>
      </c>
      <c r="R87" s="9">
        <v>0.47549999999999998</v>
      </c>
      <c r="S87" s="7">
        <v>151</v>
      </c>
      <c r="T87" s="7">
        <v>3037</v>
      </c>
      <c r="U87" s="7">
        <v>2600</v>
      </c>
      <c r="V87" s="7">
        <v>4594</v>
      </c>
      <c r="W87" s="7">
        <v>157387.88799999899</v>
      </c>
      <c r="X87" s="7">
        <v>2065112.8959999999</v>
      </c>
      <c r="Y87" s="7">
        <v>559476.81599999999</v>
      </c>
      <c r="Z87" s="7">
        <v>52835.584000000003</v>
      </c>
      <c r="AA87" s="7">
        <v>270743.31199999899</v>
      </c>
      <c r="AB87" s="11">
        <f t="shared" si="2"/>
        <v>127602526</v>
      </c>
    </row>
    <row r="88" spans="1:28" x14ac:dyDescent="0.25">
      <c r="A88" t="str">
        <f t="shared" si="3"/>
        <v>Waihou-Piako</v>
      </c>
      <c r="B88" t="str">
        <f t="shared" si="3"/>
        <v>high-tech-change</v>
      </c>
      <c r="C88">
        <v>9</v>
      </c>
      <c r="D88" s="11">
        <v>738022367</v>
      </c>
      <c r="E88" s="11">
        <v>610401457</v>
      </c>
      <c r="F88" s="11">
        <v>234153105</v>
      </c>
      <c r="G88" s="7">
        <v>3559</v>
      </c>
      <c r="H88" s="7">
        <v>1719</v>
      </c>
      <c r="I88" s="7">
        <v>3853</v>
      </c>
      <c r="J88" s="7">
        <v>3898</v>
      </c>
      <c r="K88" s="7">
        <v>7620</v>
      </c>
      <c r="L88" s="7">
        <v>2965</v>
      </c>
      <c r="M88" s="7">
        <v>7439</v>
      </c>
      <c r="N88" s="7">
        <v>7620</v>
      </c>
      <c r="O88" s="9">
        <v>0.46710000000000002</v>
      </c>
      <c r="P88" s="9">
        <v>0.57979999999999998</v>
      </c>
      <c r="Q88" s="9">
        <v>0.51790000000000003</v>
      </c>
      <c r="R88" s="9">
        <v>0.51149999999999995</v>
      </c>
      <c r="S88" s="7">
        <v>181</v>
      </c>
      <c r="T88" s="7">
        <v>2965</v>
      </c>
      <c r="U88" s="7">
        <v>2762</v>
      </c>
      <c r="V88" s="7">
        <v>4474</v>
      </c>
      <c r="W88" s="7">
        <v>130653.84</v>
      </c>
      <c r="X88" s="7">
        <v>2011169.2320000001</v>
      </c>
      <c r="Y88" s="7">
        <v>514994.56</v>
      </c>
      <c r="Z88" s="7">
        <v>50747.951999999997</v>
      </c>
      <c r="AA88" s="7">
        <v>255476.06400000001</v>
      </c>
      <c r="AB88" s="11">
        <f t="shared" si="2"/>
        <v>127620910</v>
      </c>
    </row>
    <row r="89" spans="1:28" x14ac:dyDescent="0.25">
      <c r="A89" s="5" t="str">
        <f t="shared" si="3"/>
        <v>Waihou-Piako</v>
      </c>
      <c r="B89" s="5" t="str">
        <f t="shared" si="3"/>
        <v>high-tech-change</v>
      </c>
      <c r="C89" s="5">
        <v>10</v>
      </c>
      <c r="D89" s="12">
        <v>737134197</v>
      </c>
      <c r="E89" s="12">
        <v>610550765</v>
      </c>
      <c r="F89" s="12">
        <v>243351267</v>
      </c>
      <c r="G89" s="8">
        <v>3784</v>
      </c>
      <c r="H89" s="8">
        <v>1743</v>
      </c>
      <c r="I89" s="8">
        <v>3959</v>
      </c>
      <c r="J89" s="8">
        <v>4106</v>
      </c>
      <c r="K89" s="8">
        <v>7470</v>
      </c>
      <c r="L89" s="8">
        <v>2931</v>
      </c>
      <c r="M89" s="8">
        <v>7287</v>
      </c>
      <c r="N89" s="8">
        <v>7470</v>
      </c>
      <c r="O89" s="10">
        <v>0.50660000000000005</v>
      </c>
      <c r="P89" s="10">
        <v>0.59470000000000001</v>
      </c>
      <c r="Q89" s="10">
        <v>0.54330000000000001</v>
      </c>
      <c r="R89" s="10">
        <v>0.54969999999999997</v>
      </c>
      <c r="S89" s="8">
        <v>183</v>
      </c>
      <c r="T89" s="8">
        <v>2931</v>
      </c>
      <c r="U89" s="8">
        <v>2912</v>
      </c>
      <c r="V89" s="8">
        <v>4356</v>
      </c>
      <c r="W89" s="8">
        <v>78570.352000000101</v>
      </c>
      <c r="X89" s="8">
        <v>1914167.3759999999</v>
      </c>
      <c r="Y89" s="8">
        <v>471718.81599999999</v>
      </c>
      <c r="Z89" s="8">
        <v>47877.103999999897</v>
      </c>
      <c r="AA89" s="8">
        <v>235632.223999999</v>
      </c>
      <c r="AB89" s="12">
        <f t="shared" si="2"/>
        <v>126583432</v>
      </c>
    </row>
    <row r="90" spans="1:28" x14ac:dyDescent="0.25">
      <c r="A90" t="str">
        <f t="shared" si="3"/>
        <v>Waihou-Piako</v>
      </c>
      <c r="B90" t="str">
        <f>[1]Scenario!J2</f>
        <v>low-init-intervention</v>
      </c>
      <c r="C90">
        <v>0</v>
      </c>
      <c r="D90" s="11">
        <v>721712882</v>
      </c>
      <c r="E90" s="11">
        <v>615856354</v>
      </c>
      <c r="F90" s="11">
        <v>209129600</v>
      </c>
      <c r="G90" s="7">
        <v>286</v>
      </c>
      <c r="H90" s="7">
        <v>99</v>
      </c>
      <c r="I90" s="7">
        <v>240</v>
      </c>
      <c r="J90" s="7">
        <v>294</v>
      </c>
      <c r="K90" s="7">
        <v>9068</v>
      </c>
      <c r="L90" s="7">
        <v>3558</v>
      </c>
      <c r="M90" s="7">
        <v>9000</v>
      </c>
      <c r="N90" s="7">
        <v>9068</v>
      </c>
      <c r="O90" s="9">
        <v>3.15E-2</v>
      </c>
      <c r="P90" s="9">
        <v>2.7799999999999998E-2</v>
      </c>
      <c r="Q90" s="9">
        <v>2.6700000000000002E-2</v>
      </c>
      <c r="R90" s="9">
        <v>3.2399999999999998E-2</v>
      </c>
      <c r="S90" s="7">
        <v>68</v>
      </c>
      <c r="T90" s="7">
        <v>3558</v>
      </c>
      <c r="U90" s="7">
        <v>1314</v>
      </c>
      <c r="V90" s="7">
        <v>5442</v>
      </c>
      <c r="W90" s="7">
        <v>584801.42399999895</v>
      </c>
      <c r="X90" s="7">
        <v>3116631.7919999901</v>
      </c>
      <c r="Y90" s="7">
        <v>1514418.6399999899</v>
      </c>
      <c r="Z90" s="7">
        <v>93020.976000000097</v>
      </c>
      <c r="AA90" s="7">
        <v>585738.576</v>
      </c>
      <c r="AB90" s="11">
        <f t="shared" si="2"/>
        <v>105856528</v>
      </c>
    </row>
    <row r="91" spans="1:28" x14ac:dyDescent="0.25">
      <c r="A91" t="str">
        <f t="shared" si="3"/>
        <v>Waihou-Piako</v>
      </c>
      <c r="B91" t="str">
        <f>B90</f>
        <v>low-init-intervention</v>
      </c>
      <c r="C91">
        <v>1</v>
      </c>
      <c r="D91" s="11">
        <v>722260828</v>
      </c>
      <c r="E91" s="11">
        <v>615763500</v>
      </c>
      <c r="F91" s="11">
        <v>255086343</v>
      </c>
      <c r="G91" s="7">
        <v>669</v>
      </c>
      <c r="H91" s="7">
        <v>239</v>
      </c>
      <c r="I91" s="7">
        <v>677</v>
      </c>
      <c r="J91" s="7">
        <v>601</v>
      </c>
      <c r="K91" s="7">
        <v>8799</v>
      </c>
      <c r="L91" s="7">
        <v>3477</v>
      </c>
      <c r="M91" s="7">
        <v>8722</v>
      </c>
      <c r="N91" s="7">
        <v>8799</v>
      </c>
      <c r="O91" s="9">
        <v>7.5999999999999998E-2</v>
      </c>
      <c r="P91" s="9">
        <v>6.8699999999999997E-2</v>
      </c>
      <c r="Q91" s="9">
        <v>7.7600000000000002E-2</v>
      </c>
      <c r="R91" s="9">
        <v>6.83E-2</v>
      </c>
      <c r="S91" s="7">
        <v>77</v>
      </c>
      <c r="T91" s="7">
        <v>3477</v>
      </c>
      <c r="U91" s="7">
        <v>1583</v>
      </c>
      <c r="V91" s="7">
        <v>5245</v>
      </c>
      <c r="W91" s="7">
        <v>585014</v>
      </c>
      <c r="X91" s="7">
        <v>3116086.19199999</v>
      </c>
      <c r="Y91" s="7">
        <v>1513777.1999999899</v>
      </c>
      <c r="Z91" s="7">
        <v>92949.216000000102</v>
      </c>
      <c r="AA91" s="7">
        <v>585671.82399999897</v>
      </c>
      <c r="AB91" s="11">
        <f t="shared" si="2"/>
        <v>106497328</v>
      </c>
    </row>
    <row r="92" spans="1:28" x14ac:dyDescent="0.25">
      <c r="A92" t="str">
        <f t="shared" si="3"/>
        <v>Waihou-Piako</v>
      </c>
      <c r="B92" t="str">
        <f t="shared" si="3"/>
        <v>low-init-intervention</v>
      </c>
      <c r="C92">
        <v>2</v>
      </c>
      <c r="D92" s="11">
        <v>722567036</v>
      </c>
      <c r="E92" s="11">
        <v>617148366</v>
      </c>
      <c r="F92" s="11">
        <v>255641034</v>
      </c>
      <c r="G92" s="7">
        <v>1036</v>
      </c>
      <c r="H92" s="7">
        <v>374</v>
      </c>
      <c r="I92" s="7">
        <v>1088</v>
      </c>
      <c r="J92" s="7">
        <v>1012</v>
      </c>
      <c r="K92" s="7">
        <v>8535</v>
      </c>
      <c r="L92" s="7">
        <v>3338</v>
      </c>
      <c r="M92" s="7">
        <v>8451</v>
      </c>
      <c r="N92" s="7">
        <v>8535</v>
      </c>
      <c r="O92" s="9">
        <v>0.12139999999999999</v>
      </c>
      <c r="P92" s="9">
        <v>0.112</v>
      </c>
      <c r="Q92" s="9">
        <v>0.12870000000000001</v>
      </c>
      <c r="R92" s="9">
        <v>0.1186</v>
      </c>
      <c r="S92" s="7">
        <v>84</v>
      </c>
      <c r="T92" s="7">
        <v>3338</v>
      </c>
      <c r="U92" s="7">
        <v>1847</v>
      </c>
      <c r="V92" s="7">
        <v>5113</v>
      </c>
      <c r="W92" s="7">
        <v>499772.01599999901</v>
      </c>
      <c r="X92" s="7">
        <v>2965867.9679999999</v>
      </c>
      <c r="Y92" s="7">
        <v>1354380.2879999999</v>
      </c>
      <c r="Z92" s="7">
        <v>86894.944000000003</v>
      </c>
      <c r="AA92" s="7">
        <v>537104.71999999904</v>
      </c>
      <c r="AB92" s="11">
        <f t="shared" si="2"/>
        <v>105418670</v>
      </c>
    </row>
    <row r="93" spans="1:28" x14ac:dyDescent="0.25">
      <c r="A93" t="str">
        <f t="shared" si="3"/>
        <v>Waihou-Piako</v>
      </c>
      <c r="B93" t="str">
        <f t="shared" si="3"/>
        <v>low-init-intervention</v>
      </c>
      <c r="C93">
        <v>3</v>
      </c>
      <c r="D93" s="11">
        <v>717434132</v>
      </c>
      <c r="E93" s="11">
        <v>613192730</v>
      </c>
      <c r="F93" s="11">
        <v>233241004</v>
      </c>
      <c r="G93" s="7">
        <v>1417</v>
      </c>
      <c r="H93" s="7">
        <v>589</v>
      </c>
      <c r="I93" s="7">
        <v>1584</v>
      </c>
      <c r="J93" s="7">
        <v>1366</v>
      </c>
      <c r="K93" s="7">
        <v>8367</v>
      </c>
      <c r="L93" s="7">
        <v>3277</v>
      </c>
      <c r="M93" s="7">
        <v>8272</v>
      </c>
      <c r="N93" s="7">
        <v>8367</v>
      </c>
      <c r="O93" s="9">
        <v>0.1694</v>
      </c>
      <c r="P93" s="9">
        <v>0.1797</v>
      </c>
      <c r="Q93" s="9">
        <v>0.1915</v>
      </c>
      <c r="R93" s="9">
        <v>0.1633</v>
      </c>
      <c r="S93" s="7">
        <v>95</v>
      </c>
      <c r="T93" s="7">
        <v>3277</v>
      </c>
      <c r="U93" s="7">
        <v>2015</v>
      </c>
      <c r="V93" s="7">
        <v>4995</v>
      </c>
      <c r="W93" s="7">
        <v>409320.97600000002</v>
      </c>
      <c r="X93" s="7">
        <v>2781580.79999999</v>
      </c>
      <c r="Y93" s="7">
        <v>1210623.936</v>
      </c>
      <c r="Z93" s="7">
        <v>80123.888000000094</v>
      </c>
      <c r="AA93" s="7">
        <v>486758.12799999898</v>
      </c>
      <c r="AB93" s="11">
        <f t="shared" si="2"/>
        <v>104241402</v>
      </c>
    </row>
    <row r="94" spans="1:28" x14ac:dyDescent="0.25">
      <c r="A94" t="str">
        <f t="shared" si="3"/>
        <v>Waihou-Piako</v>
      </c>
      <c r="B94" t="str">
        <f t="shared" si="3"/>
        <v>low-init-intervention</v>
      </c>
      <c r="C94">
        <v>4</v>
      </c>
      <c r="D94" s="11">
        <v>714434974</v>
      </c>
      <c r="E94" s="11">
        <v>613313496</v>
      </c>
      <c r="F94" s="11">
        <v>224219496</v>
      </c>
      <c r="G94" s="7">
        <v>1760</v>
      </c>
      <c r="H94" s="7">
        <v>745</v>
      </c>
      <c r="I94" s="7">
        <v>2085</v>
      </c>
      <c r="J94" s="7">
        <v>1700</v>
      </c>
      <c r="K94" s="7">
        <v>8237</v>
      </c>
      <c r="L94" s="7">
        <v>3119</v>
      </c>
      <c r="M94" s="7">
        <v>8109</v>
      </c>
      <c r="N94" s="7">
        <v>8237</v>
      </c>
      <c r="O94" s="9">
        <v>0.2137</v>
      </c>
      <c r="P94" s="9">
        <v>0.2389</v>
      </c>
      <c r="Q94" s="9">
        <v>0.2571</v>
      </c>
      <c r="R94" s="9">
        <v>0.2064</v>
      </c>
      <c r="S94" s="7">
        <v>128</v>
      </c>
      <c r="T94" s="7">
        <v>3119</v>
      </c>
      <c r="U94" s="7">
        <v>2145</v>
      </c>
      <c r="V94" s="7">
        <v>4990</v>
      </c>
      <c r="W94" s="7">
        <v>347371.760000001</v>
      </c>
      <c r="X94" s="7">
        <v>2648787.71199999</v>
      </c>
      <c r="Y94" s="7">
        <v>1072495.2319999901</v>
      </c>
      <c r="Z94" s="7">
        <v>74545.679999999906</v>
      </c>
      <c r="AA94" s="7">
        <v>443016.03200000001</v>
      </c>
      <c r="AB94" s="11">
        <f t="shared" si="2"/>
        <v>101121478</v>
      </c>
    </row>
    <row r="95" spans="1:28" x14ac:dyDescent="0.25">
      <c r="A95" t="str">
        <f t="shared" si="3"/>
        <v>Waihou-Piako</v>
      </c>
      <c r="B95" t="str">
        <f t="shared" si="3"/>
        <v>low-init-intervention</v>
      </c>
      <c r="C95">
        <v>5</v>
      </c>
      <c r="D95" s="11">
        <v>702664030</v>
      </c>
      <c r="E95" s="11">
        <v>603216954</v>
      </c>
      <c r="F95" s="11">
        <v>198676726</v>
      </c>
      <c r="G95" s="7">
        <v>2136</v>
      </c>
      <c r="H95" s="7">
        <v>859</v>
      </c>
      <c r="I95" s="7">
        <v>2341</v>
      </c>
      <c r="J95" s="7">
        <v>2007</v>
      </c>
      <c r="K95" s="7">
        <v>8061</v>
      </c>
      <c r="L95" s="7">
        <v>3089</v>
      </c>
      <c r="M95" s="7">
        <v>7911</v>
      </c>
      <c r="N95" s="7">
        <v>8061</v>
      </c>
      <c r="O95" s="9">
        <v>0.26500000000000001</v>
      </c>
      <c r="P95" s="9">
        <v>0.27810000000000001</v>
      </c>
      <c r="Q95" s="9">
        <v>0.2959</v>
      </c>
      <c r="R95" s="9">
        <v>0.249</v>
      </c>
      <c r="S95" s="7">
        <v>150</v>
      </c>
      <c r="T95" s="7">
        <v>3089</v>
      </c>
      <c r="U95" s="7">
        <v>2321</v>
      </c>
      <c r="V95" s="7">
        <v>4822</v>
      </c>
      <c r="W95" s="7">
        <v>286217.07199999999</v>
      </c>
      <c r="X95" s="7">
        <v>2490769.75999999</v>
      </c>
      <c r="Y95" s="7">
        <v>955146.87999999803</v>
      </c>
      <c r="Z95" s="7">
        <v>69021.247999999803</v>
      </c>
      <c r="AA95" s="7">
        <v>403804.62400000001</v>
      </c>
      <c r="AB95" s="11">
        <f t="shared" si="2"/>
        <v>99447076</v>
      </c>
    </row>
    <row r="96" spans="1:28" x14ac:dyDescent="0.25">
      <c r="A96" t="str">
        <f t="shared" si="3"/>
        <v>Waihou-Piako</v>
      </c>
      <c r="B96" t="str">
        <f t="shared" si="3"/>
        <v>low-init-intervention</v>
      </c>
      <c r="C96">
        <v>6</v>
      </c>
      <c r="D96" s="11">
        <v>701954144</v>
      </c>
      <c r="E96" s="11">
        <v>605286230</v>
      </c>
      <c r="F96" s="11">
        <v>187244682</v>
      </c>
      <c r="G96" s="7">
        <v>2371</v>
      </c>
      <c r="H96" s="7">
        <v>1051</v>
      </c>
      <c r="I96" s="7">
        <v>2751</v>
      </c>
      <c r="J96" s="7">
        <v>2409</v>
      </c>
      <c r="K96" s="7">
        <v>7926</v>
      </c>
      <c r="L96" s="7">
        <v>3020</v>
      </c>
      <c r="M96" s="7">
        <v>7761</v>
      </c>
      <c r="N96" s="7">
        <v>7926</v>
      </c>
      <c r="O96" s="9">
        <v>0.29909999999999998</v>
      </c>
      <c r="P96" s="9">
        <v>0.34799999999999998</v>
      </c>
      <c r="Q96" s="9">
        <v>0.35449999999999998</v>
      </c>
      <c r="R96" s="9">
        <v>0.3039</v>
      </c>
      <c r="S96" s="7">
        <v>165</v>
      </c>
      <c r="T96" s="7">
        <v>3020</v>
      </c>
      <c r="U96" s="7">
        <v>2456</v>
      </c>
      <c r="V96" s="7">
        <v>4741</v>
      </c>
      <c r="W96" s="7">
        <v>230577.56799999901</v>
      </c>
      <c r="X96" s="7">
        <v>2380067.0079999999</v>
      </c>
      <c r="Y96" s="7">
        <v>852838.28799999994</v>
      </c>
      <c r="Z96" s="7">
        <v>64693.104000000101</v>
      </c>
      <c r="AA96" s="7">
        <v>368427.90399999998</v>
      </c>
      <c r="AB96" s="11">
        <f t="shared" si="2"/>
        <v>96667914</v>
      </c>
    </row>
    <row r="97" spans="1:28" x14ac:dyDescent="0.25">
      <c r="A97" t="str">
        <f t="shared" si="3"/>
        <v>Waihou-Piako</v>
      </c>
      <c r="B97" t="str">
        <f t="shared" si="3"/>
        <v>low-init-intervention</v>
      </c>
      <c r="C97">
        <v>7</v>
      </c>
      <c r="D97" s="11">
        <v>699475610</v>
      </c>
      <c r="E97" s="11">
        <v>603348047</v>
      </c>
      <c r="F97" s="11">
        <v>174115398</v>
      </c>
      <c r="G97" s="7">
        <v>2724</v>
      </c>
      <c r="H97" s="7">
        <v>1231</v>
      </c>
      <c r="I97" s="7">
        <v>3039</v>
      </c>
      <c r="J97" s="7">
        <v>2650</v>
      </c>
      <c r="K97" s="7">
        <v>7796</v>
      </c>
      <c r="L97" s="7">
        <v>2941</v>
      </c>
      <c r="M97" s="7">
        <v>7605</v>
      </c>
      <c r="N97" s="7">
        <v>7796</v>
      </c>
      <c r="O97" s="9">
        <v>0.34939999999999999</v>
      </c>
      <c r="P97" s="9">
        <v>0.41860000000000003</v>
      </c>
      <c r="Q97" s="9">
        <v>0.39960000000000001</v>
      </c>
      <c r="R97" s="9">
        <v>0.33989999999999998</v>
      </c>
      <c r="S97" s="7">
        <v>191</v>
      </c>
      <c r="T97" s="7">
        <v>2941</v>
      </c>
      <c r="U97" s="7">
        <v>2586</v>
      </c>
      <c r="V97" s="7">
        <v>4664</v>
      </c>
      <c r="W97" s="7">
        <v>181070.97599999901</v>
      </c>
      <c r="X97" s="7">
        <v>2265729.3119999999</v>
      </c>
      <c r="Y97" s="7">
        <v>740343.15200000105</v>
      </c>
      <c r="Z97" s="7">
        <v>60743.455999999998</v>
      </c>
      <c r="AA97" s="7">
        <v>336316.272</v>
      </c>
      <c r="AB97" s="11">
        <f t="shared" si="2"/>
        <v>96127563</v>
      </c>
    </row>
    <row r="98" spans="1:28" x14ac:dyDescent="0.25">
      <c r="A98" t="str">
        <f t="shared" si="3"/>
        <v>Waihou-Piako</v>
      </c>
      <c r="B98" t="str">
        <f t="shared" si="3"/>
        <v>low-init-intervention</v>
      </c>
      <c r="C98">
        <v>8</v>
      </c>
      <c r="D98" s="11">
        <v>694806169</v>
      </c>
      <c r="E98" s="11">
        <v>600569920</v>
      </c>
      <c r="F98" s="11">
        <v>174512376</v>
      </c>
      <c r="G98" s="7">
        <v>2979</v>
      </c>
      <c r="H98" s="7">
        <v>1317</v>
      </c>
      <c r="I98" s="7">
        <v>3360</v>
      </c>
      <c r="J98" s="7">
        <v>2892</v>
      </c>
      <c r="K98" s="7">
        <v>7650</v>
      </c>
      <c r="L98" s="7">
        <v>2917</v>
      </c>
      <c r="M98" s="7">
        <v>7466</v>
      </c>
      <c r="N98" s="7">
        <v>7650</v>
      </c>
      <c r="O98" s="9">
        <v>0.38940000000000002</v>
      </c>
      <c r="P98" s="9">
        <v>0.45150000000000001</v>
      </c>
      <c r="Q98" s="9">
        <v>0.45</v>
      </c>
      <c r="R98" s="9">
        <v>0.378</v>
      </c>
      <c r="S98" s="7">
        <v>184</v>
      </c>
      <c r="T98" s="7">
        <v>2917</v>
      </c>
      <c r="U98" s="7">
        <v>2732</v>
      </c>
      <c r="V98" s="7">
        <v>4549</v>
      </c>
      <c r="W98" s="7">
        <v>131950.38399999999</v>
      </c>
      <c r="X98" s="7">
        <v>2168768.128</v>
      </c>
      <c r="Y98" s="7">
        <v>674052.46399999806</v>
      </c>
      <c r="Z98" s="7">
        <v>56886.879999999801</v>
      </c>
      <c r="AA98" s="7">
        <v>305783.76</v>
      </c>
      <c r="AB98" s="11">
        <f t="shared" si="2"/>
        <v>94236249</v>
      </c>
    </row>
    <row r="99" spans="1:28" x14ac:dyDescent="0.25">
      <c r="A99" t="str">
        <f t="shared" si="3"/>
        <v>Waihou-Piako</v>
      </c>
      <c r="B99" t="str">
        <f t="shared" si="3"/>
        <v>low-init-intervention</v>
      </c>
      <c r="C99">
        <v>9</v>
      </c>
      <c r="D99" s="11">
        <v>695788503</v>
      </c>
      <c r="E99" s="11">
        <v>601672263</v>
      </c>
      <c r="F99" s="11">
        <v>156941896</v>
      </c>
      <c r="G99" s="7">
        <v>3135</v>
      </c>
      <c r="H99" s="7">
        <v>1522</v>
      </c>
      <c r="I99" s="7">
        <v>3478</v>
      </c>
      <c r="J99" s="7">
        <v>3137</v>
      </c>
      <c r="K99" s="7">
        <v>7557</v>
      </c>
      <c r="L99" s="7">
        <v>2860</v>
      </c>
      <c r="M99" s="7">
        <v>7350</v>
      </c>
      <c r="N99" s="7">
        <v>7557</v>
      </c>
      <c r="O99" s="9">
        <v>0.4148</v>
      </c>
      <c r="P99" s="9">
        <v>0.53220000000000001</v>
      </c>
      <c r="Q99" s="9">
        <v>0.47320000000000001</v>
      </c>
      <c r="R99" s="9">
        <v>0.41510000000000002</v>
      </c>
      <c r="S99" s="7">
        <v>207</v>
      </c>
      <c r="T99" s="7">
        <v>2860</v>
      </c>
      <c r="U99" s="7">
        <v>2825</v>
      </c>
      <c r="V99" s="7">
        <v>4490</v>
      </c>
      <c r="W99" s="7">
        <v>86075.1519999999</v>
      </c>
      <c r="X99" s="7">
        <v>2088620.608</v>
      </c>
      <c r="Y99" s="7">
        <v>584607.99999999895</v>
      </c>
      <c r="Z99" s="7">
        <v>53844.24</v>
      </c>
      <c r="AA99" s="7">
        <v>281453.85599999898</v>
      </c>
      <c r="AB99" s="11">
        <f t="shared" si="2"/>
        <v>94116240</v>
      </c>
    </row>
    <row r="100" spans="1:28" x14ac:dyDescent="0.25">
      <c r="A100" s="5" t="str">
        <f t="shared" si="3"/>
        <v>Waihou-Piako</v>
      </c>
      <c r="B100" s="5" t="str">
        <f t="shared" si="3"/>
        <v>low-init-intervention</v>
      </c>
      <c r="C100" s="5">
        <v>10</v>
      </c>
      <c r="D100" s="12">
        <v>693439195</v>
      </c>
      <c r="E100" s="12">
        <v>599254106</v>
      </c>
      <c r="F100" s="12">
        <v>172781324</v>
      </c>
      <c r="G100" s="8">
        <v>3348</v>
      </c>
      <c r="H100" s="8">
        <v>1582</v>
      </c>
      <c r="I100" s="8">
        <v>3731</v>
      </c>
      <c r="J100" s="8">
        <v>3332</v>
      </c>
      <c r="K100" s="8">
        <v>7479</v>
      </c>
      <c r="L100" s="8">
        <v>2850</v>
      </c>
      <c r="M100" s="8">
        <v>7261</v>
      </c>
      <c r="N100" s="8">
        <v>7479</v>
      </c>
      <c r="O100" s="10">
        <v>0.44769999999999999</v>
      </c>
      <c r="P100" s="10">
        <v>0.55510000000000004</v>
      </c>
      <c r="Q100" s="10">
        <v>0.51380000000000003</v>
      </c>
      <c r="R100" s="10">
        <v>0.44550000000000001</v>
      </c>
      <c r="S100" s="8">
        <v>218</v>
      </c>
      <c r="T100" s="8">
        <v>2850</v>
      </c>
      <c r="U100" s="8">
        <v>2903</v>
      </c>
      <c r="V100" s="8">
        <v>4411</v>
      </c>
      <c r="W100" s="8">
        <v>47792.688000000002</v>
      </c>
      <c r="X100" s="8">
        <v>2004319.9040000001</v>
      </c>
      <c r="Y100" s="8">
        <v>564445.05599999905</v>
      </c>
      <c r="Z100" s="8">
        <v>51482.127999999997</v>
      </c>
      <c r="AA100" s="8">
        <v>262323.63199999998</v>
      </c>
      <c r="AB100" s="12">
        <f t="shared" si="2"/>
        <v>94185089</v>
      </c>
    </row>
    <row r="101" spans="1:28" x14ac:dyDescent="0.25">
      <c r="A101" t="str">
        <f t="shared" si="3"/>
        <v>Waihou-Piako</v>
      </c>
      <c r="B101" t="str">
        <f>[1]Scenario!K2</f>
        <v>high-debt</v>
      </c>
      <c r="C101">
        <v>0</v>
      </c>
      <c r="D101" s="11">
        <v>718336707</v>
      </c>
      <c r="E101" s="11">
        <v>616071747</v>
      </c>
      <c r="F101" s="11">
        <v>200078113</v>
      </c>
      <c r="G101" s="7">
        <v>1020</v>
      </c>
      <c r="H101" s="7">
        <v>381</v>
      </c>
      <c r="I101" s="7">
        <v>934</v>
      </c>
      <c r="J101" s="7">
        <v>983</v>
      </c>
      <c r="K101" s="7">
        <v>9068</v>
      </c>
      <c r="L101" s="7">
        <v>3558</v>
      </c>
      <c r="M101" s="7">
        <v>9000</v>
      </c>
      <c r="N101" s="7">
        <v>9068</v>
      </c>
      <c r="O101" s="9">
        <v>0.1125</v>
      </c>
      <c r="P101" s="9">
        <v>0.1071</v>
      </c>
      <c r="Q101" s="9">
        <v>0.1038</v>
      </c>
      <c r="R101" s="9">
        <v>0.1084</v>
      </c>
      <c r="S101" s="7">
        <v>68</v>
      </c>
      <c r="T101" s="7">
        <v>3558</v>
      </c>
      <c r="U101" s="7">
        <v>1314</v>
      </c>
      <c r="V101" s="7">
        <v>5442</v>
      </c>
      <c r="W101" s="7">
        <v>573476.255999999</v>
      </c>
      <c r="X101" s="7">
        <v>2966620.6879999898</v>
      </c>
      <c r="Y101" s="7">
        <v>1285647.4239999901</v>
      </c>
      <c r="Z101" s="7">
        <v>85011.712</v>
      </c>
      <c r="AA101" s="7">
        <v>523229.087999999</v>
      </c>
      <c r="AB101" s="11"/>
    </row>
    <row r="102" spans="1:28" x14ac:dyDescent="0.25">
      <c r="A102" t="str">
        <f t="shared" si="3"/>
        <v>Waihou-Piako</v>
      </c>
      <c r="B102" t="str">
        <f>B101</f>
        <v>high-debt</v>
      </c>
      <c r="C102">
        <v>1</v>
      </c>
      <c r="D102" s="11">
        <v>718882591</v>
      </c>
      <c r="E102" s="11">
        <v>615978889</v>
      </c>
      <c r="F102" s="11">
        <v>237531533</v>
      </c>
      <c r="G102" s="7">
        <v>1348</v>
      </c>
      <c r="H102" s="7">
        <v>581</v>
      </c>
      <c r="I102" s="7">
        <v>1291</v>
      </c>
      <c r="J102" s="7">
        <v>1360</v>
      </c>
      <c r="K102" s="7">
        <v>8744</v>
      </c>
      <c r="L102" s="7">
        <v>3446</v>
      </c>
      <c r="M102" s="7">
        <v>8684</v>
      </c>
      <c r="N102" s="7">
        <v>8744</v>
      </c>
      <c r="O102" s="9">
        <v>0.1542</v>
      </c>
      <c r="P102" s="9">
        <v>0.1686</v>
      </c>
      <c r="Q102" s="9">
        <v>0.1487</v>
      </c>
      <c r="R102" s="9">
        <v>0.1555</v>
      </c>
      <c r="S102" s="7">
        <v>60</v>
      </c>
      <c r="T102" s="7">
        <v>3446</v>
      </c>
      <c r="U102" s="7">
        <v>1638</v>
      </c>
      <c r="V102" s="7">
        <v>5238</v>
      </c>
      <c r="W102" s="7">
        <v>573688.81599999999</v>
      </c>
      <c r="X102" s="7">
        <v>2967115.7439999902</v>
      </c>
      <c r="Y102" s="7">
        <v>1284754.6559999899</v>
      </c>
      <c r="Z102" s="7">
        <v>84952.816000000006</v>
      </c>
      <c r="AA102" s="7">
        <v>523171.26400000002</v>
      </c>
      <c r="AB102" s="11"/>
    </row>
    <row r="103" spans="1:28" x14ac:dyDescent="0.25">
      <c r="A103" t="str">
        <f t="shared" si="3"/>
        <v>Waihou-Piako</v>
      </c>
      <c r="B103" t="str">
        <f t="shared" si="3"/>
        <v>high-debt</v>
      </c>
      <c r="C103">
        <v>2</v>
      </c>
      <c r="D103" s="11">
        <v>717231347</v>
      </c>
      <c r="E103" s="11">
        <v>615601656</v>
      </c>
      <c r="F103" s="11">
        <v>257178730</v>
      </c>
      <c r="G103" s="7">
        <v>1636</v>
      </c>
      <c r="H103" s="7">
        <v>732</v>
      </c>
      <c r="I103" s="7">
        <v>1615</v>
      </c>
      <c r="J103" s="7">
        <v>1575</v>
      </c>
      <c r="K103" s="7">
        <v>8469</v>
      </c>
      <c r="L103" s="7">
        <v>3352</v>
      </c>
      <c r="M103" s="7">
        <v>8412</v>
      </c>
      <c r="N103" s="7">
        <v>8469</v>
      </c>
      <c r="O103" s="9">
        <v>0.19320000000000001</v>
      </c>
      <c r="P103" s="9">
        <v>0.21840000000000001</v>
      </c>
      <c r="Q103" s="9">
        <v>0.192</v>
      </c>
      <c r="R103" s="9">
        <v>0.186</v>
      </c>
      <c r="S103" s="7">
        <v>57</v>
      </c>
      <c r="T103" s="7">
        <v>3352</v>
      </c>
      <c r="U103" s="7">
        <v>1913</v>
      </c>
      <c r="V103" s="7">
        <v>5060</v>
      </c>
      <c r="W103" s="7">
        <v>469751.29599999799</v>
      </c>
      <c r="X103" s="7">
        <v>2793072.5759999999</v>
      </c>
      <c r="Y103" s="7">
        <v>1140481.1999999899</v>
      </c>
      <c r="Z103" s="7">
        <v>78856.703999999998</v>
      </c>
      <c r="AA103" s="7">
        <v>472491.98399999901</v>
      </c>
      <c r="AB103" s="11"/>
    </row>
    <row r="104" spans="1:28" x14ac:dyDescent="0.25">
      <c r="A104" t="str">
        <f t="shared" si="3"/>
        <v>Waihou-Piako</v>
      </c>
      <c r="B104" t="str">
        <f t="shared" si="3"/>
        <v>high-debt</v>
      </c>
      <c r="C104">
        <v>3</v>
      </c>
      <c r="D104" s="11">
        <v>716738877</v>
      </c>
      <c r="E104" s="11">
        <v>616119347</v>
      </c>
      <c r="F104" s="11">
        <v>265131638</v>
      </c>
      <c r="G104" s="7">
        <v>1907</v>
      </c>
      <c r="H104" s="7">
        <v>902</v>
      </c>
      <c r="I104" s="7">
        <v>1914</v>
      </c>
      <c r="J104" s="7">
        <v>1924</v>
      </c>
      <c r="K104" s="7">
        <v>8205</v>
      </c>
      <c r="L104" s="7">
        <v>3208</v>
      </c>
      <c r="M104" s="7">
        <v>8125</v>
      </c>
      <c r="N104" s="7">
        <v>8205</v>
      </c>
      <c r="O104" s="9">
        <v>0.2324</v>
      </c>
      <c r="P104" s="9">
        <v>0.28120000000000001</v>
      </c>
      <c r="Q104" s="9">
        <v>0.2356</v>
      </c>
      <c r="R104" s="9">
        <v>0.23449999999999999</v>
      </c>
      <c r="S104" s="7">
        <v>80</v>
      </c>
      <c r="T104" s="7">
        <v>3208</v>
      </c>
      <c r="U104" s="7">
        <v>2177</v>
      </c>
      <c r="V104" s="7">
        <v>4917</v>
      </c>
      <c r="W104" s="7">
        <v>382663.63199999899</v>
      </c>
      <c r="X104" s="7">
        <v>2643601.7439999902</v>
      </c>
      <c r="Y104" s="7">
        <v>1044584.83199999</v>
      </c>
      <c r="Z104" s="7">
        <v>73890.303999999902</v>
      </c>
      <c r="AA104" s="7">
        <v>434413.29599999997</v>
      </c>
      <c r="AB104" s="11"/>
    </row>
    <row r="105" spans="1:28" x14ac:dyDescent="0.25">
      <c r="A105" t="str">
        <f t="shared" si="3"/>
        <v>Waihou-Piako</v>
      </c>
      <c r="B105" t="str">
        <f t="shared" si="3"/>
        <v>high-debt</v>
      </c>
      <c r="C105">
        <v>4</v>
      </c>
      <c r="D105" s="11">
        <v>710833060</v>
      </c>
      <c r="E105" s="11">
        <v>612509709</v>
      </c>
      <c r="F105" s="11">
        <v>238337018</v>
      </c>
      <c r="G105" s="7">
        <v>2230</v>
      </c>
      <c r="H105" s="7">
        <v>994</v>
      </c>
      <c r="I105" s="7">
        <v>2251</v>
      </c>
      <c r="J105" s="7">
        <v>2243</v>
      </c>
      <c r="K105" s="7">
        <v>7980</v>
      </c>
      <c r="L105" s="7">
        <v>3138</v>
      </c>
      <c r="M105" s="7">
        <v>7887</v>
      </c>
      <c r="N105" s="7">
        <v>7980</v>
      </c>
      <c r="O105" s="9">
        <v>0.27939999999999998</v>
      </c>
      <c r="P105" s="9">
        <v>0.31680000000000003</v>
      </c>
      <c r="Q105" s="9">
        <v>0.28539999999999999</v>
      </c>
      <c r="R105" s="9">
        <v>0.28110000000000002</v>
      </c>
      <c r="S105" s="7">
        <v>93</v>
      </c>
      <c r="T105" s="7">
        <v>3138</v>
      </c>
      <c r="U105" s="7">
        <v>2402</v>
      </c>
      <c r="V105" s="7">
        <v>4749</v>
      </c>
      <c r="W105" s="7">
        <v>290566.255999999</v>
      </c>
      <c r="X105" s="7">
        <v>2462325.44</v>
      </c>
      <c r="Y105" s="7">
        <v>935243.47199999797</v>
      </c>
      <c r="Z105" s="7">
        <v>68272.528000000093</v>
      </c>
      <c r="AA105" s="7">
        <v>392521.59999999899</v>
      </c>
      <c r="AB105" s="11"/>
    </row>
    <row r="106" spans="1:28" x14ac:dyDescent="0.25">
      <c r="A106" t="str">
        <f t="shared" si="3"/>
        <v>Waihou-Piako</v>
      </c>
      <c r="B106" t="str">
        <f t="shared" si="3"/>
        <v>high-debt</v>
      </c>
      <c r="C106">
        <v>5</v>
      </c>
      <c r="D106" s="11">
        <v>712591904</v>
      </c>
      <c r="E106" s="11">
        <v>613729242</v>
      </c>
      <c r="F106" s="11">
        <v>222427541</v>
      </c>
      <c r="G106" s="7">
        <v>2573</v>
      </c>
      <c r="H106" s="7">
        <v>1100</v>
      </c>
      <c r="I106" s="7">
        <v>2601</v>
      </c>
      <c r="J106" s="7">
        <v>2471</v>
      </c>
      <c r="K106" s="7">
        <v>7810</v>
      </c>
      <c r="L106" s="7">
        <v>3074</v>
      </c>
      <c r="M106" s="7">
        <v>7673</v>
      </c>
      <c r="N106" s="7">
        <v>7810</v>
      </c>
      <c r="O106" s="9">
        <v>0.32940000000000003</v>
      </c>
      <c r="P106" s="9">
        <v>0.35780000000000001</v>
      </c>
      <c r="Q106" s="9">
        <v>0.33900000000000002</v>
      </c>
      <c r="R106" s="9">
        <v>0.31640000000000001</v>
      </c>
      <c r="S106" s="7">
        <v>137</v>
      </c>
      <c r="T106" s="7">
        <v>3074</v>
      </c>
      <c r="U106" s="7">
        <v>2572</v>
      </c>
      <c r="V106" s="7">
        <v>4599</v>
      </c>
      <c r="W106" s="7">
        <v>219047.679999999</v>
      </c>
      <c r="X106" s="7">
        <v>2333030.8960000002</v>
      </c>
      <c r="Y106" s="7">
        <v>830288.08000000101</v>
      </c>
      <c r="Z106" s="7">
        <v>63475.631999999998</v>
      </c>
      <c r="AA106" s="7">
        <v>355860.44799999997</v>
      </c>
      <c r="AB106" s="11"/>
    </row>
    <row r="107" spans="1:28" x14ac:dyDescent="0.25">
      <c r="A107" t="str">
        <f t="shared" si="3"/>
        <v>Waihou-Piako</v>
      </c>
      <c r="B107" t="str">
        <f t="shared" si="3"/>
        <v>high-debt</v>
      </c>
      <c r="C107">
        <v>6</v>
      </c>
      <c r="D107" s="11">
        <v>712221140</v>
      </c>
      <c r="E107" s="11">
        <v>614627847</v>
      </c>
      <c r="F107" s="11">
        <v>207083207</v>
      </c>
      <c r="G107" s="7">
        <v>2760</v>
      </c>
      <c r="H107" s="7">
        <v>1202</v>
      </c>
      <c r="I107" s="7">
        <v>2828</v>
      </c>
      <c r="J107" s="7">
        <v>3051</v>
      </c>
      <c r="K107" s="7">
        <v>7555</v>
      </c>
      <c r="L107" s="7">
        <v>3009</v>
      </c>
      <c r="M107" s="7">
        <v>7412</v>
      </c>
      <c r="N107" s="7">
        <v>7555</v>
      </c>
      <c r="O107" s="9">
        <v>0.36530000000000001</v>
      </c>
      <c r="P107" s="9">
        <v>0.39950000000000002</v>
      </c>
      <c r="Q107" s="9">
        <v>0.38150000000000001</v>
      </c>
      <c r="R107" s="9">
        <v>0.40379999999999999</v>
      </c>
      <c r="S107" s="7">
        <v>143</v>
      </c>
      <c r="T107" s="7">
        <v>3009</v>
      </c>
      <c r="U107" s="7">
        <v>2827</v>
      </c>
      <c r="V107" s="7">
        <v>4403</v>
      </c>
      <c r="W107" s="7">
        <v>165272.41599999901</v>
      </c>
      <c r="X107" s="7">
        <v>2219756.9599999902</v>
      </c>
      <c r="Y107" s="7">
        <v>728936.68799999799</v>
      </c>
      <c r="Z107" s="7">
        <v>59282.784</v>
      </c>
      <c r="AA107" s="7">
        <v>324656.04800000001</v>
      </c>
      <c r="AB107" s="11"/>
    </row>
    <row r="108" spans="1:28" x14ac:dyDescent="0.25">
      <c r="A108" t="str">
        <f t="shared" si="3"/>
        <v>Waihou-Piako</v>
      </c>
      <c r="B108" t="str">
        <f t="shared" si="3"/>
        <v>high-debt</v>
      </c>
      <c r="C108">
        <v>7</v>
      </c>
      <c r="D108" s="11">
        <v>712974964</v>
      </c>
      <c r="E108" s="11">
        <v>618154794</v>
      </c>
      <c r="F108" s="11">
        <v>210238554</v>
      </c>
      <c r="G108" s="7">
        <v>2939</v>
      </c>
      <c r="H108" s="7">
        <v>1260</v>
      </c>
      <c r="I108" s="7">
        <v>3140</v>
      </c>
      <c r="J108" s="7">
        <v>3281</v>
      </c>
      <c r="K108" s="7">
        <v>7381</v>
      </c>
      <c r="L108" s="7">
        <v>2873</v>
      </c>
      <c r="M108" s="7">
        <v>7221</v>
      </c>
      <c r="N108" s="7">
        <v>7381</v>
      </c>
      <c r="O108" s="9">
        <v>0.3982</v>
      </c>
      <c r="P108" s="9">
        <v>0.43859999999999999</v>
      </c>
      <c r="Q108" s="9">
        <v>0.43480000000000002</v>
      </c>
      <c r="R108" s="9">
        <v>0.44450000000000001</v>
      </c>
      <c r="S108" s="7">
        <v>160</v>
      </c>
      <c r="T108" s="7">
        <v>2873</v>
      </c>
      <c r="U108" s="7">
        <v>3001</v>
      </c>
      <c r="V108" s="7">
        <v>4348</v>
      </c>
      <c r="W108" s="7">
        <v>83907.296000000002</v>
      </c>
      <c r="X108" s="7">
        <v>2074375.824</v>
      </c>
      <c r="Y108" s="7">
        <v>603525.29599999997</v>
      </c>
      <c r="Z108" s="7">
        <v>54599.712</v>
      </c>
      <c r="AA108" s="7">
        <v>285117.375999999</v>
      </c>
      <c r="AB108" s="11"/>
    </row>
    <row r="109" spans="1:28" x14ac:dyDescent="0.25">
      <c r="A109" t="str">
        <f t="shared" si="3"/>
        <v>Waihou-Piako</v>
      </c>
      <c r="B109" t="str">
        <f t="shared" si="3"/>
        <v>high-debt</v>
      </c>
      <c r="C109">
        <v>8</v>
      </c>
      <c r="D109" s="11">
        <v>706565015</v>
      </c>
      <c r="E109" s="11">
        <v>611689965</v>
      </c>
      <c r="F109" s="11">
        <v>216546929</v>
      </c>
      <c r="G109" s="7">
        <v>3113</v>
      </c>
      <c r="H109" s="7">
        <v>1313</v>
      </c>
      <c r="I109" s="7">
        <v>3354</v>
      </c>
      <c r="J109" s="7">
        <v>3438</v>
      </c>
      <c r="K109" s="7">
        <v>7223</v>
      </c>
      <c r="L109" s="7">
        <v>2792</v>
      </c>
      <c r="M109" s="7">
        <v>7049</v>
      </c>
      <c r="N109" s="7">
        <v>7223</v>
      </c>
      <c r="O109" s="9">
        <v>0.43099999999999999</v>
      </c>
      <c r="P109" s="9">
        <v>0.4703</v>
      </c>
      <c r="Q109" s="9">
        <v>0.4758</v>
      </c>
      <c r="R109" s="9">
        <v>0.47599999999999998</v>
      </c>
      <c r="S109" s="7">
        <v>174</v>
      </c>
      <c r="T109" s="7">
        <v>2792</v>
      </c>
      <c r="U109" s="7">
        <v>3159</v>
      </c>
      <c r="V109" s="7">
        <v>4257</v>
      </c>
      <c r="W109" s="7">
        <v>18913.679999999898</v>
      </c>
      <c r="X109" s="7">
        <v>1950702.30399999</v>
      </c>
      <c r="Y109" s="7">
        <v>557493.88799999899</v>
      </c>
      <c r="Z109" s="7">
        <v>51295.983999999902</v>
      </c>
      <c r="AA109" s="7">
        <v>262757.58399999997</v>
      </c>
      <c r="AB109" s="11"/>
    </row>
    <row r="110" spans="1:28" x14ac:dyDescent="0.25">
      <c r="A110" t="str">
        <f t="shared" si="3"/>
        <v>Waihou-Piako</v>
      </c>
      <c r="B110" t="str">
        <f t="shared" si="3"/>
        <v>high-debt</v>
      </c>
      <c r="C110">
        <v>9</v>
      </c>
      <c r="D110" s="11">
        <v>702732551</v>
      </c>
      <c r="E110" s="11">
        <v>609616196</v>
      </c>
      <c r="F110" s="11">
        <v>204869393</v>
      </c>
      <c r="G110" s="7">
        <v>3289</v>
      </c>
      <c r="H110" s="7">
        <v>1444</v>
      </c>
      <c r="I110" s="7">
        <v>3556</v>
      </c>
      <c r="J110" s="7">
        <v>3594</v>
      </c>
      <c r="K110" s="7">
        <v>7127</v>
      </c>
      <c r="L110" s="7">
        <v>2719</v>
      </c>
      <c r="M110" s="7">
        <v>6919</v>
      </c>
      <c r="N110" s="7">
        <v>7127</v>
      </c>
      <c r="O110" s="9">
        <v>0.46150000000000002</v>
      </c>
      <c r="P110" s="9">
        <v>0.53110000000000002</v>
      </c>
      <c r="Q110" s="9">
        <v>0.51390000000000002</v>
      </c>
      <c r="R110" s="9">
        <v>0.50429999999999997</v>
      </c>
      <c r="S110" s="7">
        <v>208</v>
      </c>
      <c r="T110" s="7">
        <v>2719</v>
      </c>
      <c r="U110" s="7">
        <v>3255</v>
      </c>
      <c r="V110" s="7">
        <v>4200</v>
      </c>
      <c r="W110" s="7">
        <v>-34294.656000000003</v>
      </c>
      <c r="X110" s="7">
        <v>1870713.1839999999</v>
      </c>
      <c r="Y110" s="7">
        <v>519140.511999999</v>
      </c>
      <c r="Z110" s="7">
        <v>49011.44</v>
      </c>
      <c r="AA110" s="7">
        <v>244311.823999999</v>
      </c>
      <c r="AB110" s="11"/>
    </row>
    <row r="111" spans="1:28" x14ac:dyDescent="0.25">
      <c r="A111" s="5" t="str">
        <f t="shared" si="3"/>
        <v>Waihou-Piako</v>
      </c>
      <c r="B111" s="5" t="str">
        <f t="shared" si="3"/>
        <v>high-debt</v>
      </c>
      <c r="C111" s="5">
        <v>10</v>
      </c>
      <c r="D111" s="12">
        <v>700052894</v>
      </c>
      <c r="E111" s="12">
        <v>606687147</v>
      </c>
      <c r="F111" s="12">
        <v>217667803</v>
      </c>
      <c r="G111" s="8">
        <v>3363</v>
      </c>
      <c r="H111" s="8">
        <v>1438</v>
      </c>
      <c r="I111" s="8">
        <v>3663</v>
      </c>
      <c r="J111" s="8">
        <v>3702</v>
      </c>
      <c r="K111" s="8">
        <v>6976</v>
      </c>
      <c r="L111" s="8">
        <v>2644</v>
      </c>
      <c r="M111" s="8">
        <v>6770</v>
      </c>
      <c r="N111" s="8">
        <v>6976</v>
      </c>
      <c r="O111" s="10">
        <v>0.48209999999999997</v>
      </c>
      <c r="P111" s="10">
        <v>0.54390000000000005</v>
      </c>
      <c r="Q111" s="10">
        <v>0.54110000000000003</v>
      </c>
      <c r="R111" s="10">
        <v>0.53069999999999995</v>
      </c>
      <c r="S111" s="8">
        <v>206</v>
      </c>
      <c r="T111" s="8">
        <v>2644</v>
      </c>
      <c r="U111" s="8">
        <v>3406</v>
      </c>
      <c r="V111" s="8">
        <v>4126</v>
      </c>
      <c r="W111" s="8">
        <v>-72697.615999999907</v>
      </c>
      <c r="X111" s="8">
        <v>1799813.7439999999</v>
      </c>
      <c r="Y111" s="8">
        <v>487232.97600000002</v>
      </c>
      <c r="Z111" s="8">
        <v>46812.016000000098</v>
      </c>
      <c r="AA111" s="8">
        <v>227417.64799999999</v>
      </c>
      <c r="AB111" s="12"/>
    </row>
    <row r="112" spans="1:28" x14ac:dyDescent="0.25">
      <c r="A112" t="str">
        <f t="shared" si="3"/>
        <v>Waihou-Piako</v>
      </c>
      <c r="B112" t="str">
        <f>[1]Scenario!L2</f>
        <v>n/a</v>
      </c>
      <c r="C112">
        <v>0</v>
      </c>
    </row>
    <row r="113" spans="1:3" x14ac:dyDescent="0.25">
      <c r="A113" t="str">
        <f t="shared" si="3"/>
        <v>Waihou-Piako</v>
      </c>
      <c r="B113" t="str">
        <f>B112</f>
        <v>n/a</v>
      </c>
      <c r="C113">
        <v>1</v>
      </c>
    </row>
    <row r="114" spans="1:3" x14ac:dyDescent="0.25">
      <c r="A114" t="str">
        <f t="shared" si="3"/>
        <v>Waihou-Piako</v>
      </c>
      <c r="B114" t="str">
        <f t="shared" si="3"/>
        <v>n/a</v>
      </c>
      <c r="C114">
        <v>2</v>
      </c>
    </row>
    <row r="115" spans="1:3" x14ac:dyDescent="0.25">
      <c r="A115" t="str">
        <f t="shared" si="3"/>
        <v>Waihou-Piako</v>
      </c>
      <c r="B115" t="str">
        <f t="shared" si="3"/>
        <v>n/a</v>
      </c>
      <c r="C115">
        <v>3</v>
      </c>
    </row>
    <row r="116" spans="1:3" x14ac:dyDescent="0.25">
      <c r="A116" t="str">
        <f t="shared" si="3"/>
        <v>Waihou-Piako</v>
      </c>
      <c r="B116" t="str">
        <f t="shared" si="3"/>
        <v>n/a</v>
      </c>
      <c r="C116">
        <v>4</v>
      </c>
    </row>
    <row r="117" spans="1:3" x14ac:dyDescent="0.25">
      <c r="A117" t="str">
        <f t="shared" si="3"/>
        <v>Waihou-Piako</v>
      </c>
      <c r="B117" t="str">
        <f t="shared" si="3"/>
        <v>n/a</v>
      </c>
      <c r="C117">
        <v>5</v>
      </c>
    </row>
    <row r="118" spans="1:3" x14ac:dyDescent="0.25">
      <c r="A118" t="str">
        <f t="shared" si="3"/>
        <v>Waihou-Piako</v>
      </c>
      <c r="B118" t="str">
        <f t="shared" si="3"/>
        <v>n/a</v>
      </c>
      <c r="C118">
        <v>6</v>
      </c>
    </row>
    <row r="119" spans="1:3" x14ac:dyDescent="0.25">
      <c r="A119" t="str">
        <f t="shared" si="3"/>
        <v>Waihou-Piako</v>
      </c>
      <c r="B119" t="str">
        <f t="shared" si="3"/>
        <v>n/a</v>
      </c>
      <c r="C119">
        <v>7</v>
      </c>
    </row>
    <row r="120" spans="1:3" x14ac:dyDescent="0.25">
      <c r="A120" t="str">
        <f t="shared" si="3"/>
        <v>Waihou-Piako</v>
      </c>
      <c r="B120" t="str">
        <f t="shared" si="3"/>
        <v>n/a</v>
      </c>
      <c r="C120">
        <v>8</v>
      </c>
    </row>
    <row r="121" spans="1:3" x14ac:dyDescent="0.25">
      <c r="A121" t="str">
        <f t="shared" si="3"/>
        <v>Waihou-Piako</v>
      </c>
      <c r="B121" t="str">
        <f t="shared" si="3"/>
        <v>n/a</v>
      </c>
      <c r="C121">
        <v>9</v>
      </c>
    </row>
    <row r="122" spans="1:3" x14ac:dyDescent="0.25">
      <c r="A122" s="5" t="str">
        <f t="shared" si="3"/>
        <v>Waihou-Piako</v>
      </c>
      <c r="B122" s="5" t="str">
        <f t="shared" si="3"/>
        <v>n/a</v>
      </c>
      <c r="C122">
        <v>10</v>
      </c>
    </row>
    <row r="123" spans="1:3" x14ac:dyDescent="0.25">
      <c r="A123" t="str">
        <f t="shared" si="3"/>
        <v>Waihou-Piako</v>
      </c>
      <c r="B123" t="str">
        <f>[1]Scenario!M2</f>
        <v>n/a</v>
      </c>
      <c r="C123">
        <v>0</v>
      </c>
    </row>
    <row r="124" spans="1:3" x14ac:dyDescent="0.25">
      <c r="A124" t="str">
        <f t="shared" si="3"/>
        <v>Waihou-Piako</v>
      </c>
      <c r="B124" t="str">
        <f>B123</f>
        <v>n/a</v>
      </c>
      <c r="C124">
        <v>1</v>
      </c>
    </row>
    <row r="125" spans="1:3" x14ac:dyDescent="0.25">
      <c r="A125" t="str">
        <f t="shared" si="3"/>
        <v>Waihou-Piako</v>
      </c>
      <c r="B125" t="str">
        <f t="shared" si="3"/>
        <v>n/a</v>
      </c>
      <c r="C125">
        <v>2</v>
      </c>
    </row>
    <row r="126" spans="1:3" x14ac:dyDescent="0.25">
      <c r="A126" t="str">
        <f t="shared" si="3"/>
        <v>Waihou-Piako</v>
      </c>
      <c r="B126" t="str">
        <f t="shared" si="3"/>
        <v>n/a</v>
      </c>
      <c r="C126">
        <v>3</v>
      </c>
    </row>
    <row r="127" spans="1:3" x14ac:dyDescent="0.25">
      <c r="A127" t="str">
        <f t="shared" si="3"/>
        <v>Waihou-Piako</v>
      </c>
      <c r="B127" t="str">
        <f t="shared" si="3"/>
        <v>n/a</v>
      </c>
      <c r="C127">
        <v>4</v>
      </c>
    </row>
    <row r="128" spans="1:3" x14ac:dyDescent="0.25">
      <c r="A128" t="str">
        <f t="shared" si="3"/>
        <v>Waihou-Piako</v>
      </c>
      <c r="B128" t="str">
        <f t="shared" si="3"/>
        <v>n/a</v>
      </c>
      <c r="C128">
        <v>5</v>
      </c>
    </row>
    <row r="129" spans="1:3" x14ac:dyDescent="0.25">
      <c r="A129" t="str">
        <f t="shared" si="3"/>
        <v>Waihou-Piako</v>
      </c>
      <c r="B129" t="str">
        <f t="shared" si="3"/>
        <v>n/a</v>
      </c>
      <c r="C129">
        <v>6</v>
      </c>
    </row>
    <row r="130" spans="1:3" x14ac:dyDescent="0.25">
      <c r="A130" t="str">
        <f t="shared" si="3"/>
        <v>Waihou-Piako</v>
      </c>
      <c r="B130" t="str">
        <f t="shared" si="3"/>
        <v>n/a</v>
      </c>
      <c r="C130">
        <v>7</v>
      </c>
    </row>
    <row r="131" spans="1:3" x14ac:dyDescent="0.25">
      <c r="A131" t="str">
        <f t="shared" si="3"/>
        <v>Waihou-Piako</v>
      </c>
      <c r="B131" t="str">
        <f t="shared" si="3"/>
        <v>n/a</v>
      </c>
      <c r="C131">
        <v>8</v>
      </c>
    </row>
    <row r="132" spans="1:3" x14ac:dyDescent="0.25">
      <c r="A132" t="str">
        <f t="shared" ref="A132:B174" si="4">A131</f>
        <v>Waihou-Piako</v>
      </c>
      <c r="B132" t="str">
        <f t="shared" si="4"/>
        <v>n/a</v>
      </c>
      <c r="C132">
        <v>9</v>
      </c>
    </row>
    <row r="133" spans="1:3" x14ac:dyDescent="0.25">
      <c r="A133" s="5" t="str">
        <f t="shared" si="4"/>
        <v>Waihou-Piako</v>
      </c>
      <c r="B133" s="5" t="str">
        <f t="shared" si="4"/>
        <v>n/a</v>
      </c>
      <c r="C133">
        <v>10</v>
      </c>
    </row>
    <row r="134" spans="1:3" x14ac:dyDescent="0.25">
      <c r="A134" t="str">
        <f t="shared" si="4"/>
        <v>Waihou-Piako</v>
      </c>
      <c r="B134" t="str">
        <f>[1]Scenario!N2</f>
        <v>n/a</v>
      </c>
      <c r="C134">
        <v>0</v>
      </c>
    </row>
    <row r="135" spans="1:3" x14ac:dyDescent="0.25">
      <c r="A135" t="str">
        <f t="shared" si="4"/>
        <v>Waihou-Piako</v>
      </c>
      <c r="B135" t="str">
        <f>B134</f>
        <v>n/a</v>
      </c>
      <c r="C135">
        <v>1</v>
      </c>
    </row>
    <row r="136" spans="1:3" x14ac:dyDescent="0.25">
      <c r="A136" t="str">
        <f t="shared" si="4"/>
        <v>Waihou-Piako</v>
      </c>
      <c r="B136" t="str">
        <f t="shared" si="4"/>
        <v>n/a</v>
      </c>
      <c r="C136">
        <v>2</v>
      </c>
    </row>
    <row r="137" spans="1:3" x14ac:dyDescent="0.25">
      <c r="A137" t="str">
        <f t="shared" si="4"/>
        <v>Waihou-Piako</v>
      </c>
      <c r="B137" t="str">
        <f t="shared" si="4"/>
        <v>n/a</v>
      </c>
      <c r="C137">
        <v>3</v>
      </c>
    </row>
    <row r="138" spans="1:3" x14ac:dyDescent="0.25">
      <c r="A138" t="str">
        <f t="shared" si="4"/>
        <v>Waihou-Piako</v>
      </c>
      <c r="B138" t="str">
        <f t="shared" si="4"/>
        <v>n/a</v>
      </c>
      <c r="C138">
        <v>4</v>
      </c>
    </row>
    <row r="139" spans="1:3" x14ac:dyDescent="0.25">
      <c r="A139" t="str">
        <f t="shared" si="4"/>
        <v>Waihou-Piako</v>
      </c>
      <c r="B139" t="str">
        <f t="shared" si="4"/>
        <v>n/a</v>
      </c>
      <c r="C139">
        <v>5</v>
      </c>
    </row>
    <row r="140" spans="1:3" x14ac:dyDescent="0.25">
      <c r="A140" t="str">
        <f t="shared" si="4"/>
        <v>Waihou-Piako</v>
      </c>
      <c r="B140" t="str">
        <f t="shared" si="4"/>
        <v>n/a</v>
      </c>
      <c r="C140">
        <v>6</v>
      </c>
    </row>
    <row r="141" spans="1:3" x14ac:dyDescent="0.25">
      <c r="A141" t="str">
        <f t="shared" si="4"/>
        <v>Waihou-Piako</v>
      </c>
      <c r="B141" t="str">
        <f t="shared" si="4"/>
        <v>n/a</v>
      </c>
      <c r="C141">
        <v>7</v>
      </c>
    </row>
    <row r="142" spans="1:3" x14ac:dyDescent="0.25">
      <c r="A142" t="str">
        <f t="shared" si="4"/>
        <v>Waihou-Piako</v>
      </c>
      <c r="B142" t="str">
        <f t="shared" si="4"/>
        <v>n/a</v>
      </c>
      <c r="C142">
        <v>8</v>
      </c>
    </row>
    <row r="143" spans="1:3" x14ac:dyDescent="0.25">
      <c r="A143" t="str">
        <f t="shared" si="4"/>
        <v>Waihou-Piako</v>
      </c>
      <c r="B143" t="str">
        <f t="shared" si="4"/>
        <v>n/a</v>
      </c>
      <c r="C143">
        <v>9</v>
      </c>
    </row>
    <row r="144" spans="1:3" x14ac:dyDescent="0.25">
      <c r="A144" s="5" t="str">
        <f t="shared" si="4"/>
        <v>Waihou-Piako</v>
      </c>
      <c r="B144" s="5" t="str">
        <f t="shared" si="4"/>
        <v>n/a</v>
      </c>
      <c r="C144">
        <v>10</v>
      </c>
    </row>
    <row r="145" spans="1:3" x14ac:dyDescent="0.25">
      <c r="A145" t="str">
        <f t="shared" si="4"/>
        <v>Waihou-Piako</v>
      </c>
      <c r="B145" t="str">
        <f>[1]Scenario!O2</f>
        <v>n/a</v>
      </c>
      <c r="C145">
        <v>0</v>
      </c>
    </row>
    <row r="146" spans="1:3" x14ac:dyDescent="0.25">
      <c r="A146" t="str">
        <f t="shared" si="4"/>
        <v>Waihou-Piako</v>
      </c>
      <c r="B146" t="str">
        <f>B145</f>
        <v>n/a</v>
      </c>
      <c r="C146">
        <v>1</v>
      </c>
    </row>
    <row r="147" spans="1:3" x14ac:dyDescent="0.25">
      <c r="A147" t="str">
        <f t="shared" si="4"/>
        <v>Waihou-Piako</v>
      </c>
      <c r="B147" t="str">
        <f t="shared" si="4"/>
        <v>n/a</v>
      </c>
      <c r="C147">
        <v>2</v>
      </c>
    </row>
    <row r="148" spans="1:3" x14ac:dyDescent="0.25">
      <c r="A148" t="str">
        <f t="shared" si="4"/>
        <v>Waihou-Piako</v>
      </c>
      <c r="B148" t="str">
        <f t="shared" si="4"/>
        <v>n/a</v>
      </c>
      <c r="C148">
        <v>3</v>
      </c>
    </row>
    <row r="149" spans="1:3" x14ac:dyDescent="0.25">
      <c r="A149" t="str">
        <f t="shared" si="4"/>
        <v>Waihou-Piako</v>
      </c>
      <c r="B149" t="str">
        <f t="shared" si="4"/>
        <v>n/a</v>
      </c>
      <c r="C149">
        <v>4</v>
      </c>
    </row>
    <row r="150" spans="1:3" x14ac:dyDescent="0.25">
      <c r="A150" t="str">
        <f t="shared" si="4"/>
        <v>Waihou-Piako</v>
      </c>
      <c r="B150" t="str">
        <f t="shared" si="4"/>
        <v>n/a</v>
      </c>
      <c r="C150">
        <v>5</v>
      </c>
    </row>
    <row r="151" spans="1:3" x14ac:dyDescent="0.25">
      <c r="A151" t="str">
        <f t="shared" si="4"/>
        <v>Waihou-Piako</v>
      </c>
      <c r="B151" t="str">
        <f t="shared" si="4"/>
        <v>n/a</v>
      </c>
      <c r="C151">
        <v>6</v>
      </c>
    </row>
    <row r="152" spans="1:3" x14ac:dyDescent="0.25">
      <c r="A152" t="str">
        <f t="shared" si="4"/>
        <v>Waihou-Piako</v>
      </c>
      <c r="B152" t="str">
        <f t="shared" si="4"/>
        <v>n/a</v>
      </c>
      <c r="C152">
        <v>7</v>
      </c>
    </row>
    <row r="153" spans="1:3" x14ac:dyDescent="0.25">
      <c r="A153" t="str">
        <f t="shared" si="4"/>
        <v>Waihou-Piako</v>
      </c>
      <c r="B153" t="str">
        <f t="shared" si="4"/>
        <v>n/a</v>
      </c>
      <c r="C153">
        <v>8</v>
      </c>
    </row>
    <row r="154" spans="1:3" x14ac:dyDescent="0.25">
      <c r="A154" t="str">
        <f t="shared" si="4"/>
        <v>Waihou-Piako</v>
      </c>
      <c r="B154" t="str">
        <f t="shared" si="4"/>
        <v>n/a</v>
      </c>
      <c r="C154">
        <v>9</v>
      </c>
    </row>
    <row r="155" spans="1:3" x14ac:dyDescent="0.25">
      <c r="A155" s="5" t="str">
        <f t="shared" si="4"/>
        <v>Waihou-Piako</v>
      </c>
      <c r="B155" s="5" t="str">
        <f t="shared" si="4"/>
        <v>n/a</v>
      </c>
      <c r="C15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D5CB-706A-4B0E-93D9-73FFBDE84D90}">
  <dimension ref="A3:L15"/>
  <sheetViews>
    <sheetView tabSelected="1" topLeftCell="A10" workbookViewId="0">
      <selection activeCell="B6" sqref="B6"/>
    </sheetView>
  </sheetViews>
  <sheetFormatPr defaultRowHeight="15" x14ac:dyDescent="0.25"/>
  <cols>
    <col min="1" max="1" width="33.5703125" bestFit="1" customWidth="1"/>
    <col min="2" max="2" width="16.85546875" bestFit="1" customWidth="1"/>
    <col min="3" max="3" width="18.5703125" bestFit="1" customWidth="1"/>
    <col min="4" max="4" width="11" bestFit="1" customWidth="1"/>
    <col min="5" max="5" width="16.140625" bestFit="1" customWidth="1"/>
    <col min="6" max="6" width="14.42578125" bestFit="1" customWidth="1"/>
    <col min="7" max="7" width="16.7109375" bestFit="1" customWidth="1"/>
    <col min="8" max="8" width="17.5703125" bestFit="1" customWidth="1"/>
    <col min="9" max="9" width="16.85546875" bestFit="1" customWidth="1"/>
    <col min="10" max="10" width="20" bestFit="1" customWidth="1"/>
    <col min="11" max="11" width="9.7109375" bestFit="1" customWidth="1"/>
    <col min="12" max="12" width="11.28515625" bestFit="1" customWidth="1"/>
    <col min="13" max="13" width="28.28515625" bestFit="1" customWidth="1"/>
    <col min="14" max="14" width="26.42578125" bestFit="1" customWidth="1"/>
    <col min="15" max="15" width="28.28515625" bestFit="1" customWidth="1"/>
    <col min="16" max="16" width="26.42578125" bestFit="1" customWidth="1"/>
    <col min="17" max="17" width="28.28515625" bestFit="1" customWidth="1"/>
    <col min="18" max="18" width="31.42578125" bestFit="1" customWidth="1"/>
    <col min="19" max="19" width="33.28515625" bestFit="1" customWidth="1"/>
    <col min="20" max="20" width="30.5703125" bestFit="1" customWidth="1"/>
    <col min="21" max="21" width="20.7109375" bestFit="1" customWidth="1"/>
    <col min="22" max="22" width="30.5703125" bestFit="1" customWidth="1"/>
    <col min="23" max="23" width="20.7109375" bestFit="1" customWidth="1"/>
    <col min="24" max="24" width="30.5703125" bestFit="1" customWidth="1"/>
    <col min="25" max="25" width="20.7109375" bestFit="1" customWidth="1"/>
    <col min="26" max="26" width="30.5703125" bestFit="1" customWidth="1"/>
    <col min="27" max="27" width="20.7109375" bestFit="1" customWidth="1"/>
    <col min="28" max="28" width="30.5703125" bestFit="1" customWidth="1"/>
    <col min="29" max="29" width="20.7109375" bestFit="1" customWidth="1"/>
    <col min="30" max="30" width="35.5703125" bestFit="1" customWidth="1"/>
    <col min="31" max="31" width="25.85546875" bestFit="1" customWidth="1"/>
    <col min="32" max="131" width="10" bestFit="1" customWidth="1"/>
    <col min="132" max="132" width="11.28515625" bestFit="1" customWidth="1"/>
  </cols>
  <sheetData>
    <row r="3" spans="1:12" x14ac:dyDescent="0.25">
      <c r="A3" s="3" t="s">
        <v>73</v>
      </c>
      <c r="B3" s="3" t="s">
        <v>55</v>
      </c>
    </row>
    <row r="4" spans="1:12" x14ac:dyDescent="0.25">
      <c r="A4" s="3" t="s">
        <v>53</v>
      </c>
      <c r="B4" t="s">
        <v>7</v>
      </c>
      <c r="C4" t="s">
        <v>58</v>
      </c>
      <c r="D4" t="s">
        <v>68</v>
      </c>
      <c r="E4" t="s">
        <v>69</v>
      </c>
      <c r="F4" t="s">
        <v>70</v>
      </c>
      <c r="G4" t="s">
        <v>71</v>
      </c>
      <c r="H4" t="s">
        <v>72</v>
      </c>
      <c r="I4" t="s">
        <v>74</v>
      </c>
      <c r="J4" t="s">
        <v>76</v>
      </c>
      <c r="K4" t="s">
        <v>77</v>
      </c>
      <c r="L4" t="s">
        <v>54</v>
      </c>
    </row>
    <row r="5" spans="1:12" x14ac:dyDescent="0.25">
      <c r="A5" s="4">
        <v>0</v>
      </c>
      <c r="B5" s="7">
        <v>573476.255999999</v>
      </c>
      <c r="C5" s="7">
        <v>573476.255999999</v>
      </c>
      <c r="D5" s="7">
        <v>573476.255999999</v>
      </c>
      <c r="E5" s="7">
        <v>573476.255999999</v>
      </c>
      <c r="F5" s="7">
        <v>573476.255999999</v>
      </c>
      <c r="G5" s="7">
        <v>573476.255999999</v>
      </c>
      <c r="H5" s="7">
        <v>573476.255999999</v>
      </c>
      <c r="I5" s="7">
        <v>573476.255999999</v>
      </c>
      <c r="J5" s="7">
        <v>584801.42399999895</v>
      </c>
      <c r="K5" s="7">
        <v>573476.255999999</v>
      </c>
      <c r="L5" s="7">
        <v>5746087.7279999899</v>
      </c>
    </row>
    <row r="6" spans="1:12" x14ac:dyDescent="0.25">
      <c r="A6" s="4">
        <v>1</v>
      </c>
      <c r="B6" s="7">
        <v>573688.81600000104</v>
      </c>
      <c r="C6" s="7">
        <v>573688.81599999999</v>
      </c>
      <c r="D6" s="7">
        <v>573688.81600000104</v>
      </c>
      <c r="E6" s="7">
        <v>573688.81600000104</v>
      </c>
      <c r="F6" s="7">
        <v>573688.81600000104</v>
      </c>
      <c r="G6" s="7">
        <v>573688.81600000197</v>
      </c>
      <c r="H6" s="7">
        <v>573688.81599999999</v>
      </c>
      <c r="I6" s="7">
        <v>573688.81600000104</v>
      </c>
      <c r="J6" s="7">
        <v>585014</v>
      </c>
      <c r="K6" s="7">
        <v>573688.81599999999</v>
      </c>
      <c r="L6" s="7">
        <v>5748213.344000007</v>
      </c>
    </row>
    <row r="7" spans="1:12" x14ac:dyDescent="0.25">
      <c r="A7" s="4">
        <v>2</v>
      </c>
      <c r="B7" s="7">
        <v>473558.97600000002</v>
      </c>
      <c r="C7" s="7">
        <v>569291.58400000003</v>
      </c>
      <c r="D7" s="7">
        <v>515152.46399999899</v>
      </c>
      <c r="E7" s="7">
        <v>473558.97600000002</v>
      </c>
      <c r="F7" s="7">
        <v>478429.28</v>
      </c>
      <c r="G7" s="7">
        <v>473463.087999999</v>
      </c>
      <c r="H7" s="7">
        <v>468477.85600000003</v>
      </c>
      <c r="I7" s="7">
        <v>473558.97600000002</v>
      </c>
      <c r="J7" s="7">
        <v>499772.01599999901</v>
      </c>
      <c r="K7" s="7">
        <v>469751.29599999799</v>
      </c>
      <c r="L7" s="7">
        <v>4895014.5119999954</v>
      </c>
    </row>
    <row r="8" spans="1:12" x14ac:dyDescent="0.25">
      <c r="A8" s="4">
        <v>3</v>
      </c>
      <c r="B8" s="7">
        <v>398276.54399999999</v>
      </c>
      <c r="C8" s="7">
        <v>562195.05599999998</v>
      </c>
      <c r="D8" s="7">
        <v>473025.00799999997</v>
      </c>
      <c r="E8" s="7">
        <v>408328.65599999903</v>
      </c>
      <c r="F8" s="7">
        <v>378042.495999999</v>
      </c>
      <c r="G8" s="7">
        <v>371584.848</v>
      </c>
      <c r="H8" s="7">
        <v>388477.29599999997</v>
      </c>
      <c r="I8" s="7">
        <v>394691.408</v>
      </c>
      <c r="J8" s="7">
        <v>409320.97600000002</v>
      </c>
      <c r="K8" s="7">
        <v>382663.63199999899</v>
      </c>
      <c r="L8" s="7">
        <v>4166605.9199999967</v>
      </c>
    </row>
    <row r="9" spans="1:12" x14ac:dyDescent="0.25">
      <c r="A9" s="4">
        <v>4</v>
      </c>
      <c r="B9" s="7">
        <v>319281.52</v>
      </c>
      <c r="C9" s="7">
        <v>552403.903999998</v>
      </c>
      <c r="D9" s="7">
        <v>440143.32799999998</v>
      </c>
      <c r="E9" s="7">
        <v>302625.424</v>
      </c>
      <c r="F9" s="7">
        <v>325196</v>
      </c>
      <c r="G9" s="7">
        <v>312012.32</v>
      </c>
      <c r="H9" s="7">
        <v>326116.28799999901</v>
      </c>
      <c r="I9" s="7">
        <v>324008.83199999901</v>
      </c>
      <c r="J9" s="7">
        <v>347371.760000001</v>
      </c>
      <c r="K9" s="7">
        <v>290566.255999999</v>
      </c>
      <c r="L9" s="7">
        <v>3539725.6319999965</v>
      </c>
    </row>
    <row r="10" spans="1:12" x14ac:dyDescent="0.25">
      <c r="A10" s="4">
        <v>5</v>
      </c>
      <c r="B10" s="7">
        <v>259758.511999999</v>
      </c>
      <c r="C10" s="7">
        <v>547092.43200000003</v>
      </c>
      <c r="D10" s="7">
        <v>415527.36</v>
      </c>
      <c r="E10" s="7">
        <v>232467.32800000001</v>
      </c>
      <c r="F10" s="7">
        <v>291194</v>
      </c>
      <c r="G10" s="7">
        <v>252589.2</v>
      </c>
      <c r="H10" s="7">
        <v>279341.90399999998</v>
      </c>
      <c r="I10" s="7">
        <v>277180.52799999999</v>
      </c>
      <c r="J10" s="7">
        <v>286217.07199999999</v>
      </c>
      <c r="K10" s="7">
        <v>219047.679999999</v>
      </c>
      <c r="L10" s="7">
        <v>3060416.015999998</v>
      </c>
    </row>
    <row r="11" spans="1:12" x14ac:dyDescent="0.25">
      <c r="A11" s="4">
        <v>6</v>
      </c>
      <c r="B11" s="7">
        <v>193211.59999999899</v>
      </c>
      <c r="C11" s="7">
        <v>543188.65599999903</v>
      </c>
      <c r="D11" s="7">
        <v>390069.52</v>
      </c>
      <c r="E11" s="7">
        <v>155498.079999999</v>
      </c>
      <c r="F11" s="7">
        <v>231997.05599999899</v>
      </c>
      <c r="G11" s="7">
        <v>192368.32</v>
      </c>
      <c r="H11" s="7">
        <v>224375.96799999999</v>
      </c>
      <c r="I11" s="7">
        <v>232646.22399999999</v>
      </c>
      <c r="J11" s="7">
        <v>230577.56799999901</v>
      </c>
      <c r="K11" s="7">
        <v>165272.41599999901</v>
      </c>
      <c r="L11" s="7">
        <v>2559205.4079999938</v>
      </c>
    </row>
    <row r="12" spans="1:12" x14ac:dyDescent="0.25">
      <c r="A12" s="4">
        <v>7</v>
      </c>
      <c r="B12" s="7">
        <v>139395.20000000001</v>
      </c>
      <c r="C12" s="7">
        <v>535770.272</v>
      </c>
      <c r="D12" s="7">
        <v>353764.86399999901</v>
      </c>
      <c r="E12" s="7">
        <v>97942.512000000002</v>
      </c>
      <c r="F12" s="7">
        <v>180829.74400000001</v>
      </c>
      <c r="G12" s="7">
        <v>139568.49600000001</v>
      </c>
      <c r="H12" s="7">
        <v>186175.53599999999</v>
      </c>
      <c r="I12" s="7">
        <v>193040.76800000001</v>
      </c>
      <c r="J12" s="7">
        <v>181070.97599999901</v>
      </c>
      <c r="K12" s="7">
        <v>83907.296000000002</v>
      </c>
      <c r="L12" s="7">
        <v>2091465.6639999982</v>
      </c>
    </row>
    <row r="13" spans="1:12" x14ac:dyDescent="0.25">
      <c r="A13" s="4">
        <v>8</v>
      </c>
      <c r="B13" s="7">
        <v>93507.808000000005</v>
      </c>
      <c r="C13" s="7">
        <v>531178.54399999895</v>
      </c>
      <c r="D13" s="7">
        <v>308853.58399999997</v>
      </c>
      <c r="E13" s="7">
        <v>48673.712</v>
      </c>
      <c r="F13" s="7">
        <v>146309.424</v>
      </c>
      <c r="G13" s="7">
        <v>93953.184000000096</v>
      </c>
      <c r="H13" s="7">
        <v>136920.60800000001</v>
      </c>
      <c r="I13" s="7">
        <v>157387.88799999899</v>
      </c>
      <c r="J13" s="7">
        <v>131950.38399999999</v>
      </c>
      <c r="K13" s="7">
        <v>18913.679999999898</v>
      </c>
      <c r="L13" s="7">
        <v>1667648.815999998</v>
      </c>
    </row>
    <row r="14" spans="1:12" x14ac:dyDescent="0.25">
      <c r="A14" s="4">
        <v>9</v>
      </c>
      <c r="B14" s="7">
        <v>41437.183999999899</v>
      </c>
      <c r="C14" s="7">
        <v>524572.72</v>
      </c>
      <c r="D14" s="7">
        <v>279883.23200000002</v>
      </c>
      <c r="E14" s="7">
        <v>-36575.392</v>
      </c>
      <c r="F14" s="7">
        <v>95303.487999999794</v>
      </c>
      <c r="G14" s="7">
        <v>47895.088000000098</v>
      </c>
      <c r="H14" s="7">
        <v>114982.399999999</v>
      </c>
      <c r="I14" s="7">
        <v>130653.84</v>
      </c>
      <c r="J14" s="7">
        <v>86075.1519999999</v>
      </c>
      <c r="K14" s="7">
        <v>-34294.656000000003</v>
      </c>
      <c r="L14" s="7">
        <v>1249933.0559999989</v>
      </c>
    </row>
    <row r="15" spans="1:12" x14ac:dyDescent="0.25">
      <c r="A15" s="4">
        <v>10</v>
      </c>
      <c r="B15" s="7">
        <v>-17878.975999999901</v>
      </c>
      <c r="C15" s="7">
        <v>522273.51999999897</v>
      </c>
      <c r="D15" s="7">
        <v>238790.864</v>
      </c>
      <c r="E15" s="7">
        <v>-107574.015999999</v>
      </c>
      <c r="F15" s="7">
        <v>46901.039999999899</v>
      </c>
      <c r="G15" s="7">
        <v>11200.351999999901</v>
      </c>
      <c r="H15" s="7">
        <v>62510.495999999999</v>
      </c>
      <c r="I15" s="7">
        <v>78570.352000000101</v>
      </c>
      <c r="J15" s="7">
        <v>47792.688000000002</v>
      </c>
      <c r="K15" s="7">
        <v>-72697.615999999907</v>
      </c>
      <c r="L15" s="7">
        <v>809888.70400000014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</vt:lpstr>
      <vt:lpstr>Estimates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J Daigneault</dc:creator>
  <cp:lastModifiedBy>Adam J Daigneault</cp:lastModifiedBy>
  <dcterms:created xsi:type="dcterms:W3CDTF">2026-02-03T19:24:58Z</dcterms:created>
  <dcterms:modified xsi:type="dcterms:W3CDTF">2026-05-12T19:05:59Z</dcterms:modified>
</cp:coreProperties>
</file>