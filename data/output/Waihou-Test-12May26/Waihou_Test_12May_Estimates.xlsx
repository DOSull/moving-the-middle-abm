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.daigneault\Documents\GitHub\moving-the-middle-abm\data\output\Waihou-Test-12May26\"/>
    </mc:Choice>
  </mc:AlternateContent>
  <xr:revisionPtr revIDLastSave="0" documentId="13_ncr:1_{6F3565DC-8B05-4377-AAE3-837C97C02FB0}" xr6:coauthVersionLast="47" xr6:coauthVersionMax="47" xr10:uidLastSave="{00000000-0000-0000-0000-000000000000}"/>
  <bookViews>
    <workbookView xWindow="-120" yWindow="-120" windowWidth="29040" windowHeight="15720" activeTab="2" xr2:uid="{46450E02-8B96-4FA9-A0F5-639D8698507A}"/>
  </bookViews>
  <sheets>
    <sheet name="Scenario" sheetId="1" r:id="rId1"/>
    <sheet name="Estimates" sheetId="2" r:id="rId2"/>
    <sheet name="Pivot" sheetId="3" r:id="rId3"/>
  </sheets>
  <calcPr calcId="191029"/>
  <pivotCaches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5" i="2" l="1"/>
  <c r="B134" i="2"/>
  <c r="B123" i="2"/>
  <c r="B112" i="2"/>
  <c r="B101" i="2"/>
  <c r="B90" i="2"/>
  <c r="B79" i="2"/>
  <c r="B68" i="2"/>
  <c r="B57" i="2"/>
  <c r="B46" i="2"/>
  <c r="B35" i="2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13" i="2"/>
  <c r="B2" i="2"/>
  <c r="C2" i="1"/>
  <c r="D2" i="1"/>
  <c r="E2" i="1"/>
  <c r="F2" i="1"/>
  <c r="G2" i="1"/>
  <c r="H2" i="1"/>
  <c r="I2" i="1"/>
  <c r="J2" i="1"/>
  <c r="K2" i="1"/>
  <c r="B2" i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B111" i="2"/>
  <c r="AB110" i="2"/>
  <c r="AB109" i="2"/>
  <c r="AB108" i="2"/>
  <c r="AB107" i="2"/>
  <c r="AB106" i="2"/>
  <c r="AB105" i="2"/>
  <c r="AB104" i="2"/>
  <c r="AB103" i="2"/>
  <c r="AB102" i="2"/>
  <c r="AB101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2" i="2"/>
  <c r="B3" i="2"/>
  <c r="B146" i="2" l="1"/>
  <c r="B147" i="2" s="1"/>
  <c r="B148" i="2" s="1"/>
  <c r="B149" i="2" s="1"/>
  <c r="B150" i="2" s="1"/>
  <c r="B151" i="2" s="1"/>
  <c r="B152" i="2" s="1"/>
  <c r="B153" i="2" s="1"/>
  <c r="B154" i="2" s="1"/>
  <c r="B155" i="2" s="1"/>
  <c r="B36" i="2"/>
  <c r="B37" i="2" s="1"/>
  <c r="B38" i="2" s="1"/>
  <c r="B39" i="2" s="1"/>
  <c r="B40" i="2" s="1"/>
  <c r="B41" i="2" s="1"/>
  <c r="B42" i="2" s="1"/>
  <c r="B43" i="2" s="1"/>
  <c r="B44" i="2" s="1"/>
  <c r="B45" i="2" s="1"/>
  <c r="B47" i="2"/>
  <c r="B48" i="2" s="1"/>
  <c r="B49" i="2" s="1"/>
  <c r="B50" i="2" s="1"/>
  <c r="B51" i="2" s="1"/>
  <c r="B52" i="2" s="1"/>
  <c r="B53" i="2" s="1"/>
  <c r="B54" i="2" s="1"/>
  <c r="B55" i="2" s="1"/>
  <c r="B56" i="2" s="1"/>
  <c r="B4" i="2"/>
  <c r="B135" i="2" l="1"/>
  <c r="B136" i="2" s="1"/>
  <c r="B137" i="2" s="1"/>
  <c r="B138" i="2" s="1"/>
  <c r="B139" i="2" s="1"/>
  <c r="B140" i="2" s="1"/>
  <c r="B141" i="2" s="1"/>
  <c r="B142" i="2" s="1"/>
  <c r="B143" i="2" s="1"/>
  <c r="B144" i="2" s="1"/>
  <c r="B124" i="2"/>
  <c r="B125" i="2" s="1"/>
  <c r="B126" i="2" s="1"/>
  <c r="B127" i="2" s="1"/>
  <c r="B128" i="2" s="1"/>
  <c r="B129" i="2" s="1"/>
  <c r="B130" i="2" s="1"/>
  <c r="B131" i="2" s="1"/>
  <c r="B132" i="2" s="1"/>
  <c r="B133" i="2" s="1"/>
  <c r="B113" i="2"/>
  <c r="B114" i="2" s="1"/>
  <c r="B115" i="2" s="1"/>
  <c r="B116" i="2" s="1"/>
  <c r="B117" i="2" s="1"/>
  <c r="B118" i="2" s="1"/>
  <c r="B119" i="2" s="1"/>
  <c r="B120" i="2" s="1"/>
  <c r="B121" i="2" s="1"/>
  <c r="B122" i="2" s="1"/>
  <c r="B91" i="2"/>
  <c r="B92" i="2" s="1"/>
  <c r="B93" i="2" s="1"/>
  <c r="B94" i="2" s="1"/>
  <c r="B95" i="2" s="1"/>
  <c r="B96" i="2" s="1"/>
  <c r="B97" i="2" s="1"/>
  <c r="B98" i="2" s="1"/>
  <c r="B99" i="2" s="1"/>
  <c r="B100" i="2" s="1"/>
  <c r="B80" i="2"/>
  <c r="B81" i="2" s="1"/>
  <c r="B82" i="2" s="1"/>
  <c r="B83" i="2" s="1"/>
  <c r="B84" i="2" s="1"/>
  <c r="B85" i="2" s="1"/>
  <c r="B86" i="2" s="1"/>
  <c r="B87" i="2" s="1"/>
  <c r="B88" i="2" s="1"/>
  <c r="B89" i="2" s="1"/>
  <c r="B58" i="2"/>
  <c r="B59" i="2" s="1"/>
  <c r="B60" i="2" s="1"/>
  <c r="B61" i="2" s="1"/>
  <c r="B62" i="2" s="1"/>
  <c r="B63" i="2" s="1"/>
  <c r="B64" i="2" s="1"/>
  <c r="B65" i="2" s="1"/>
  <c r="B66" i="2" s="1"/>
  <c r="B67" i="2" s="1"/>
  <c r="B102" i="2"/>
  <c r="B103" i="2" s="1"/>
  <c r="B104" i="2" s="1"/>
  <c r="B105" i="2" s="1"/>
  <c r="B106" i="2" s="1"/>
  <c r="B107" i="2" s="1"/>
  <c r="B108" i="2" s="1"/>
  <c r="B109" i="2" s="1"/>
  <c r="B110" i="2" s="1"/>
  <c r="B111" i="2" s="1"/>
  <c r="B69" i="2"/>
  <c r="B70" i="2" s="1"/>
  <c r="B71" i="2" s="1"/>
  <c r="B72" i="2" s="1"/>
  <c r="B73" i="2" s="1"/>
  <c r="B74" i="2" s="1"/>
  <c r="B75" i="2" s="1"/>
  <c r="B76" i="2" s="1"/>
  <c r="B77" i="2" s="1"/>
  <c r="B78" i="2" s="1"/>
  <c r="B5" i="2"/>
  <c r="B6" i="2" l="1"/>
  <c r="B7" i="2" l="1"/>
  <c r="B8" i="2" l="1"/>
  <c r="B9" i="2" l="1"/>
  <c r="B10" i="2" l="1"/>
  <c r="B11" i="2" l="1"/>
  <c r="B12" i="2" l="1"/>
</calcChain>
</file>

<file path=xl/sharedStrings.xml><?xml version="1.0" encoding="utf-8"?>
<sst xmlns="http://schemas.openxmlformats.org/spreadsheetml/2006/main" count="132" uniqueCount="82">
  <si>
    <t>run-seed</t>
  </si>
  <si>
    <t>geography-seed</t>
  </si>
  <si>
    <t>output_data_folder</t>
  </si>
  <si>
    <t>market_data_folder</t>
  </si>
  <si>
    <t>spatial_data_folder</t>
  </si>
  <si>
    <t>geography_from_files</t>
  </si>
  <si>
    <t>scenario</t>
  </si>
  <si>
    <t>default</t>
  </si>
  <si>
    <t>region</t>
  </si>
  <si>
    <t>LUC_aggregation_steps</t>
  </si>
  <si>
    <t>number_of_farms</t>
  </si>
  <si>
    <t>correlated_landuse</t>
  </si>
  <si>
    <t>landuse_aggregation_steps</t>
  </si>
  <si>
    <t>include_networks</t>
  </si>
  <si>
    <t>n_local_links</t>
  </si>
  <si>
    <t>n_catchment_links</t>
  </si>
  <si>
    <t>interest_rate</t>
  </si>
  <si>
    <t>mortgate_term</t>
  </si>
  <si>
    <t>landuse_change_on_succession</t>
  </si>
  <si>
    <t>apply_suitability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</si>
  <si>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</si>
  <si>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</si>
  <si>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</si>
  <si>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</si>
  <si>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</si>
  <si>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</si>
  <si>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</si>
  <si>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</si>
  <si>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</si>
  <si>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</si>
  <si>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</si>
  <si>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</si>
  <si>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</si>
  <si>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</si>
  <si>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tick</t>
  </si>
  <si>
    <t>income_costs_income</t>
  </si>
  <si>
    <t>income_costs_costs</t>
  </si>
  <si>
    <t>income_costs_debt</t>
  </si>
  <si>
    <t>interventions_Build_Wetland</t>
  </si>
  <si>
    <t>interventions_Clean_Races</t>
  </si>
  <si>
    <t>interventions_Farm_Plan</t>
  </si>
  <si>
    <t>interventions_Riparian_Planting</t>
  </si>
  <si>
    <t>landuse_Crop</t>
  </si>
  <si>
    <t>landuse_Dairy</t>
  </si>
  <si>
    <t>landuse_Forest</t>
  </si>
  <si>
    <t>landuse_SNB</t>
  </si>
  <si>
    <t>env_metrics_ghg_emissions</t>
  </si>
  <si>
    <t>env_metrics_nitrates</t>
  </si>
  <si>
    <t>env_metrics_sediment</t>
  </si>
  <si>
    <t>env_metrics_phosphates</t>
  </si>
  <si>
    <t>env_metrics_e_coli</t>
  </si>
  <si>
    <t>Scenario</t>
  </si>
  <si>
    <t>Row Labels</t>
  </si>
  <si>
    <t>Grand Total</t>
  </si>
  <si>
    <t>Column Labels</t>
  </si>
  <si>
    <t>C:\Users\adam.daigneault\Documents\GitHub\moving-the-middle-abm\data\output</t>
  </si>
  <si>
    <t>no-landuse-change</t>
  </si>
  <si>
    <t>nudge_efficacy</t>
  </si>
  <si>
    <t>intervention_limits_Build_Wetland</t>
  </si>
  <si>
    <t>intervention_limits_Clean_Races</t>
  </si>
  <si>
    <t>intervention_limits_Farm_Plan</t>
  </si>
  <si>
    <t>intervention_limits_Riparian_Planting</t>
  </si>
  <si>
    <t>intervention_props_Build_Wetland</t>
  </si>
  <si>
    <t>intervention_props_Clean_Races</t>
  </si>
  <si>
    <t>intervention_props_Farm_Plan</t>
  </si>
  <si>
    <t>intervention_props_Riparian_Planting</t>
  </si>
  <si>
    <t>low-uptake</t>
  </si>
  <si>
    <t>low-tech-change</t>
  </si>
  <si>
    <t>farm-plan-only</t>
  </si>
  <si>
    <t>all-profit-farmers</t>
  </si>
  <si>
    <t>all-enviro-farmers</t>
  </si>
  <si>
    <t>Sum of env_metrics_ghg_emissions</t>
  </si>
  <si>
    <t>high-tech-change</t>
  </si>
  <si>
    <t>income_costs_netrev</t>
  </si>
  <si>
    <t>low-init-intervention</t>
  </si>
  <si>
    <t>high-debt</t>
  </si>
  <si>
    <t>C:\Users\adam.daigneault\Documents\GitHub\moving-the-middle-abm\data\spatial\Waihou-Piako</t>
  </si>
  <si>
    <t>Waihou-Piako</t>
  </si>
  <si>
    <t>Catchment</t>
  </si>
  <si>
    <t>scenairo_number</t>
  </si>
  <si>
    <t>scenario_name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</si>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</sst>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6" fillId="0" borderId="0" xfId="0" applyFont="1" applyAlignment="1">
      <alignment horizontal="right"/>
    </xf>
    <xf numFmtId="3" fontId="0" fillId="0" borderId="0" xfId="0" applyNumberFormat="1"/>
    <xf numFmtId="3" fontId="0" fillId="0" borderId="10" xfId="0" applyNumberFormat="1" applyBorder="1"/>
    <xf numFmtId="9" fontId="0" fillId="0" borderId="0" xfId="42" applyFont="1"/>
    <xf numFmtId="9" fontId="0" fillId="0" borderId="10" xfId="42" applyFont="1" applyBorder="1"/>
    <xf numFmtId="164" fontId="0" fillId="0" borderId="0" xfId="0" applyNumberFormat="1"/>
    <xf numFmtId="164" fontId="0" fillId="0" borderId="10" xfId="0" applyNumberFormat="1" applyBorder="1"/>
    <xf numFmtId="0" fontId="16" fillId="33" borderId="0" xfId="0" applyFont="1" applyFill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[Waihou_Test_12May_Estimates.xlsx]Pivot!PivotTable1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Pivot!$B$5:$B$15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1379442.72</c:v>
                </c:pt>
                <c:pt idx="2">
                  <c:v>1232595.2479999999</c:v>
                </c:pt>
                <c:pt idx="3">
                  <c:v>1122346.06399999</c:v>
                </c:pt>
                <c:pt idx="4">
                  <c:v>1019124.09599999</c:v>
                </c:pt>
                <c:pt idx="5">
                  <c:v>943355.43999999797</c:v>
                </c:pt>
                <c:pt idx="6">
                  <c:v>887153.85599999805</c:v>
                </c:pt>
                <c:pt idx="7">
                  <c:v>805372.56</c:v>
                </c:pt>
                <c:pt idx="8">
                  <c:v>745304.75200000103</c:v>
                </c:pt>
                <c:pt idx="9">
                  <c:v>691212.048000001</c:v>
                </c:pt>
                <c:pt idx="10">
                  <c:v>625571.47199999797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6-4581-AEB9-DF634FE92CE5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no-landuse-change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Pivot!$C$5:$C$15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1379442.71999999</c:v>
                </c:pt>
                <c:pt idx="2">
                  <c:v>1367148.8319999899</c:v>
                </c:pt>
                <c:pt idx="3">
                  <c:v>1354394.784</c:v>
                </c:pt>
                <c:pt idx="4">
                  <c:v>1341486.78399999</c:v>
                </c:pt>
                <c:pt idx="5">
                  <c:v>1329725.28</c:v>
                </c:pt>
                <c:pt idx="6">
                  <c:v>1323381.8079999899</c:v>
                </c:pt>
                <c:pt idx="7">
                  <c:v>1310079.2319999901</c:v>
                </c:pt>
                <c:pt idx="8">
                  <c:v>1302645.39199999</c:v>
                </c:pt>
                <c:pt idx="9">
                  <c:v>1292043.63199999</c:v>
                </c:pt>
                <c:pt idx="10">
                  <c:v>1285793.7279999901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6-4581-AEB9-DF634FE92CE5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low-uptake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Pivot!$D$5:$D$15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1379442.71999999</c:v>
                </c:pt>
                <c:pt idx="2">
                  <c:v>1318198.48</c:v>
                </c:pt>
                <c:pt idx="3">
                  <c:v>1256047.2</c:v>
                </c:pt>
                <c:pt idx="4">
                  <c:v>1188589.264</c:v>
                </c:pt>
                <c:pt idx="5">
                  <c:v>1153623.264</c:v>
                </c:pt>
                <c:pt idx="6">
                  <c:v>1107929.92</c:v>
                </c:pt>
                <c:pt idx="7">
                  <c:v>1046842.8959999901</c:v>
                </c:pt>
                <c:pt idx="8">
                  <c:v>1017113.51999999</c:v>
                </c:pt>
                <c:pt idx="9">
                  <c:v>973686.60800000001</c:v>
                </c:pt>
                <c:pt idx="10">
                  <c:v>928033.40800000005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6-4581-AEB9-DF634FE92CE5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low-tech-change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Pivot!$E$5:$E$15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1379442.72</c:v>
                </c:pt>
                <c:pt idx="2">
                  <c:v>1232595.2479999999</c:v>
                </c:pt>
                <c:pt idx="3">
                  <c:v>1134521.4719999901</c:v>
                </c:pt>
                <c:pt idx="4">
                  <c:v>960019.55199999595</c:v>
                </c:pt>
                <c:pt idx="5">
                  <c:v>839892.24000000104</c:v>
                </c:pt>
                <c:pt idx="6">
                  <c:v>772404.62399999704</c:v>
                </c:pt>
                <c:pt idx="7">
                  <c:v>679687.13599999901</c:v>
                </c:pt>
                <c:pt idx="8">
                  <c:v>618902.17599999998</c:v>
                </c:pt>
                <c:pt idx="9">
                  <c:v>563646.81599999801</c:v>
                </c:pt>
                <c:pt idx="10">
                  <c:v>484916.41599999898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C6-4581-AEB9-DF634FE92CE5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farm-plan-only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Pivot!$F$5:$F$15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1379442.71999999</c:v>
                </c:pt>
                <c:pt idx="2">
                  <c:v>1243408.8160000001</c:v>
                </c:pt>
                <c:pt idx="3">
                  <c:v>1107960.736</c:v>
                </c:pt>
                <c:pt idx="4">
                  <c:v>1003403.00799999</c:v>
                </c:pt>
                <c:pt idx="5">
                  <c:v>903656.27200000302</c:v>
                </c:pt>
                <c:pt idx="6">
                  <c:v>856034.78399999999</c:v>
                </c:pt>
                <c:pt idx="7">
                  <c:v>771334.65600000101</c:v>
                </c:pt>
                <c:pt idx="8">
                  <c:v>715915.66399999696</c:v>
                </c:pt>
                <c:pt idx="9">
                  <c:v>657093.10400000098</c:v>
                </c:pt>
                <c:pt idx="10">
                  <c:v>580118.06399999897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C6-4581-AEB9-DF634FE92CE5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all-profit-farmers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Pivot!$G$5:$G$15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1379442.72</c:v>
                </c:pt>
                <c:pt idx="2">
                  <c:v>1236302.192</c:v>
                </c:pt>
                <c:pt idx="3">
                  <c:v>1116589.4719999901</c:v>
                </c:pt>
                <c:pt idx="4">
                  <c:v>1019234.768</c:v>
                </c:pt>
                <c:pt idx="5">
                  <c:v>941269.69599999895</c:v>
                </c:pt>
                <c:pt idx="6">
                  <c:v>852324.495999999</c:v>
                </c:pt>
                <c:pt idx="7">
                  <c:v>786825.82400000002</c:v>
                </c:pt>
                <c:pt idx="8">
                  <c:v>716993.45599999896</c:v>
                </c:pt>
                <c:pt idx="9">
                  <c:v>658835.728</c:v>
                </c:pt>
                <c:pt idx="10">
                  <c:v>572735.02399999695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C6-4581-AEB9-DF634FE92CE5}"/>
            </c:ext>
          </c:extLst>
        </c:ser>
        <c:ser>
          <c:idx val="6"/>
          <c:order val="6"/>
          <c:tx>
            <c:strRef>
              <c:f>Pivot!$H$3:$H$4</c:f>
              <c:strCache>
                <c:ptCount val="1"/>
                <c:pt idx="0">
                  <c:v>all-enviro-farmers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Pivot!$H$5:$H$15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1379442.71999999</c:v>
                </c:pt>
                <c:pt idx="2">
                  <c:v>1225231.1040000001</c:v>
                </c:pt>
                <c:pt idx="3">
                  <c:v>1097751.6639999901</c:v>
                </c:pt>
                <c:pt idx="4">
                  <c:v>999510.22400000005</c:v>
                </c:pt>
                <c:pt idx="5">
                  <c:v>911472.81599999999</c:v>
                </c:pt>
                <c:pt idx="6">
                  <c:v>831964.95999999903</c:v>
                </c:pt>
                <c:pt idx="7">
                  <c:v>758212.04799999902</c:v>
                </c:pt>
                <c:pt idx="8">
                  <c:v>661491.93599999906</c:v>
                </c:pt>
                <c:pt idx="9">
                  <c:v>594712.22400000005</c:v>
                </c:pt>
                <c:pt idx="10">
                  <c:v>525871.98400000005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C6-4581-AEB9-DF634FE92CE5}"/>
            </c:ext>
          </c:extLst>
        </c:ser>
        <c:ser>
          <c:idx val="7"/>
          <c:order val="7"/>
          <c:tx>
            <c:strRef>
              <c:f>Pivot!$I$3:$I$4</c:f>
              <c:strCache>
                <c:ptCount val="1"/>
                <c:pt idx="0">
                  <c:v>high-tech-change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Pivot!$I$5:$I$15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1379442.72</c:v>
                </c:pt>
                <c:pt idx="2">
                  <c:v>1232595.2479999999</c:v>
                </c:pt>
                <c:pt idx="3">
                  <c:v>1164119.088</c:v>
                </c:pt>
                <c:pt idx="4">
                  <c:v>1062449.824</c:v>
                </c:pt>
                <c:pt idx="5">
                  <c:v>975790.94400000095</c:v>
                </c:pt>
                <c:pt idx="6">
                  <c:v>892580.576</c:v>
                </c:pt>
                <c:pt idx="7">
                  <c:v>797010.24</c:v>
                </c:pt>
                <c:pt idx="8">
                  <c:v>727653.15199999802</c:v>
                </c:pt>
                <c:pt idx="9">
                  <c:v>654441.951999999</c:v>
                </c:pt>
                <c:pt idx="10">
                  <c:v>607010.60800000001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C6-4581-AEB9-DF634FE92CE5}"/>
            </c:ext>
          </c:extLst>
        </c:ser>
        <c:ser>
          <c:idx val="8"/>
          <c:order val="8"/>
          <c:tx>
            <c:strRef>
              <c:f>Pivot!$J$3:$J$4</c:f>
              <c:strCache>
                <c:ptCount val="1"/>
                <c:pt idx="0">
                  <c:v>low-init-intervention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Pivot!$J$5:$J$15</c:f>
              <c:numCache>
                <c:formatCode>#,##0</c:formatCode>
                <c:ptCount val="11"/>
                <c:pt idx="0">
                  <c:v>1396309.45599999</c:v>
                </c:pt>
                <c:pt idx="1">
                  <c:v>1396305.4399999899</c:v>
                </c:pt>
                <c:pt idx="2">
                  <c:v>1229434.97599999</c:v>
                </c:pt>
                <c:pt idx="3">
                  <c:v>1097386.048</c:v>
                </c:pt>
                <c:pt idx="4">
                  <c:v>999124.20799999801</c:v>
                </c:pt>
                <c:pt idx="5">
                  <c:v>920156.00000000198</c:v>
                </c:pt>
                <c:pt idx="6">
                  <c:v>850773.055999998</c:v>
                </c:pt>
                <c:pt idx="7">
                  <c:v>774307.91999999899</c:v>
                </c:pt>
                <c:pt idx="8">
                  <c:v>686746.03199999896</c:v>
                </c:pt>
                <c:pt idx="9">
                  <c:v>615222.73599999805</c:v>
                </c:pt>
                <c:pt idx="10">
                  <c:v>538126.35199999996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C6-4581-AEB9-DF634FE92CE5}"/>
            </c:ext>
          </c:extLst>
        </c:ser>
        <c:ser>
          <c:idx val="9"/>
          <c:order val="9"/>
          <c:tx>
            <c:strRef>
              <c:f>Pivot!$K$3:$K$4</c:f>
              <c:strCache>
                <c:ptCount val="1"/>
                <c:pt idx="0">
                  <c:v>high-debt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Pivot!$K$5:$K$15</c:f>
              <c:numCache>
                <c:formatCode>#,##0</c:formatCode>
                <c:ptCount val="11"/>
                <c:pt idx="0">
                  <c:v>1379504.32</c:v>
                </c:pt>
                <c:pt idx="1">
                  <c:v>1379442.71999999</c:v>
                </c:pt>
                <c:pt idx="2">
                  <c:v>1224353.216</c:v>
                </c:pt>
                <c:pt idx="3">
                  <c:v>1038216.52799999</c:v>
                </c:pt>
                <c:pt idx="4">
                  <c:v>943415.02399999904</c:v>
                </c:pt>
                <c:pt idx="5">
                  <c:v>848928.78400000103</c:v>
                </c:pt>
                <c:pt idx="6">
                  <c:v>774876.175999998</c:v>
                </c:pt>
                <c:pt idx="7">
                  <c:v>698896.14399999997</c:v>
                </c:pt>
                <c:pt idx="8">
                  <c:v>629958.04799999995</c:v>
                </c:pt>
                <c:pt idx="9">
                  <c:v>557103.13599999901</c:v>
                </c:pt>
                <c:pt idx="10">
                  <c:v>485150.16000000102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C6-4581-AEB9-DF634FE92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827663"/>
        <c:axId val="1608776783"/>
      </c:lineChart>
      <c:catAx>
        <c:axId val="16088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76783"/>
        <c:crosses val="autoZero"/>
        <c:auto val="1"/>
        <c:lblAlgn val="ctr"/>
        <c:lblOffset val="100"/>
        <c:noMultiLvlLbl val="0"/>
      </c:catAx>
      <c:valAx>
        <c:axId val="16087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18</xdr:row>
      <xdr:rowOff>133349</xdr:rowOff>
    </xdr:from>
    <xdr:to>
      <xdr:col>10</xdr:col>
      <xdr:colOff>409575</xdr:colOff>
      <xdr:row>44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5E956-3E94-9A63-F563-7C8A3338D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J Daigneault" refreshedDate="46154.594385532408" createdVersion="8" refreshedVersion="8" minRefreshableVersion="3" recordCount="155" xr:uid="{9D1B9744-58FE-42EC-A7F1-2D7A6E18C540}">
  <cacheSource type="worksheet">
    <worksheetSource ref="A1:AB1048576" sheet="Estimates"/>
  </cacheSource>
  <cacheFields count="28">
    <cacheField name="Catchment" numFmtId="0">
      <sharedItems containsBlank="1"/>
    </cacheField>
    <cacheField name="Scenario" numFmtId="0">
      <sharedItems containsBlank="1" count="12">
        <s v="default"/>
        <s v="no-landuse-change"/>
        <s v="low-uptake"/>
        <s v="low-tech-change"/>
        <s v="farm-plan-only"/>
        <s v="all-profit-farmers"/>
        <s v="all-enviro-farmers"/>
        <s v="high-tech-change"/>
        <s v="low-init-intervention"/>
        <s v="high-debt"/>
        <s v="n/a"/>
        <m/>
      </sharedItems>
    </cacheField>
    <cacheField name="tick" numFmtId="0">
      <sharedItems containsString="0" containsBlank="1" containsNumber="1" containsInteger="1" minValue="0" maxValue="10" count="12">
        <n v="0"/>
        <n v="1"/>
        <n v="2"/>
        <n v="3"/>
        <n v="4"/>
        <n v="5"/>
        <n v="6"/>
        <n v="7"/>
        <n v="8"/>
        <n v="9"/>
        <n v="10"/>
        <m/>
      </sharedItems>
    </cacheField>
    <cacheField name="income_costs_income" numFmtId="0">
      <sharedItems containsString="0" containsBlank="1" containsNumber="1" containsInteger="1" minValue="1152349232" maxValue="1458016601"/>
    </cacheField>
    <cacheField name="income_costs_costs" numFmtId="0">
      <sharedItems containsString="0" containsBlank="1" containsNumber="1" containsInteger="1" minValue="1083590346" maxValue="1197739477"/>
    </cacheField>
    <cacheField name="income_costs_debt" numFmtId="0">
      <sharedItems containsString="0" containsBlank="1" containsNumber="1" containsInteger="1" minValue="137250694" maxValue="590710081"/>
    </cacheField>
    <cacheField name="interventions_Build_Wetland" numFmtId="0">
      <sharedItems containsString="0" containsBlank="1" containsNumber="1" containsInteger="1" minValue="398" maxValue="7387"/>
    </cacheField>
    <cacheField name="interventions_Clean_Races" numFmtId="0">
      <sharedItems containsString="0" containsBlank="1" containsNumber="1" containsInteger="1" minValue="301" maxValue="5327"/>
    </cacheField>
    <cacheField name="interventions_Farm_Plan" numFmtId="0">
      <sharedItems containsString="0" containsBlank="1" containsNumber="1" containsInteger="1" minValue="427" maxValue="7760"/>
    </cacheField>
    <cacheField name="interventions_Riparian_Planting" numFmtId="0">
      <sharedItems containsString="0" containsBlank="1" containsNumber="1" containsInteger="1" minValue="424" maxValue="7253"/>
    </cacheField>
    <cacheField name="intervention_limits_Build_Wetland" numFmtId="0">
      <sharedItems containsString="0" containsBlank="1" containsNumber="1" containsInteger="1" minValue="9832" maxValue="12351"/>
    </cacheField>
    <cacheField name="intervention_limits_Clean_Races" numFmtId="0">
      <sharedItems containsString="0" containsBlank="1" containsNumber="1" containsInteger="1" minValue="6836" maxValue="9078"/>
    </cacheField>
    <cacheField name="intervention_limits_Farm_Plan" numFmtId="0">
      <sharedItems containsString="0" containsBlank="1" containsNumber="1" containsInteger="1" minValue="9504" maxValue="12167"/>
    </cacheField>
    <cacheField name="intervention_limits_Riparian_Planting" numFmtId="0">
      <sharedItems containsString="0" containsBlank="1" containsNumber="1" containsInteger="1" minValue="9832" maxValue="12351"/>
    </cacheField>
    <cacheField name="intervention_props_Build_Wetland" numFmtId="0">
      <sharedItems containsString="0" containsBlank="1" containsNumber="1" minValue="3.2199999999999999E-2" maxValue="0.72750000000000004"/>
    </cacheField>
    <cacheField name="intervention_props_Clean_Races" numFmtId="0">
      <sharedItems containsString="0" containsBlank="1" containsNumber="1" minValue="3.32E-2" maxValue="0.74739999999999995"/>
    </cacheField>
    <cacheField name="intervention_props_Farm_Plan" numFmtId="0">
      <sharedItems containsString="0" containsBlank="1" containsNumber="1" minValue="3.5099999999999999E-2" maxValue="0.78710000000000002"/>
    </cacheField>
    <cacheField name="intervention_props_Riparian_Planting" numFmtId="0">
      <sharedItems containsString="0" containsBlank="1" containsNumber="1" minValue="3.4299999999999997E-2" maxValue="0.71430000000000005"/>
    </cacheField>
    <cacheField name="landuse_Crop" numFmtId="0">
      <sharedItems containsString="0" containsBlank="1" containsNumber="1" containsInteger="1" minValue="184" maxValue="385"/>
    </cacheField>
    <cacheField name="landuse_Dairy" numFmtId="0">
      <sharedItems containsString="0" containsBlank="1" containsNumber="1" containsInteger="1" minValue="6836" maxValue="9078"/>
    </cacheField>
    <cacheField name="landuse_Forest" numFmtId="0">
      <sharedItems containsString="0" containsBlank="1" containsNumber="1" containsInteger="1" minValue="1068" maxValue="3587"/>
    </cacheField>
    <cacheField name="landuse_SNB" numFmtId="0">
      <sharedItems containsString="0" containsBlank="1" containsNumber="1" containsInteger="1" minValue="2532" maxValue="3127"/>
    </cacheField>
    <cacheField name="env_metrics_ghg_emissions" numFmtId="0">
      <sharedItems containsString="0" containsBlank="1" containsNumber="1" minValue="484916.41599999898" maxValue="1396309.45599999"/>
    </cacheField>
    <cacheField name="env_metrics_nitrates" numFmtId="0">
      <sharedItems containsString="0" containsBlank="1" containsNumber="1" minValue="2960370.41600001" maxValue="6021924.5280000204"/>
    </cacheField>
    <cacheField name="env_metrics_sediment" numFmtId="0">
      <sharedItems containsString="0" containsBlank="1" containsNumber="1" minValue="299744.31999999803" maxValue="1312340.5120000001"/>
    </cacheField>
    <cacheField name="env_metrics_phosphates" numFmtId="0">
      <sharedItems containsString="0" containsBlank="1" containsNumber="1" minValue="51059.68" maxValue="146604.12799999901"/>
    </cacheField>
    <cacheField name="env_metrics_e_coli" numFmtId="0">
      <sharedItems containsString="0" containsBlank="1" containsNumber="1" minValue="198028.64" maxValue="813662.07999999798"/>
    </cacheField>
    <cacheField name="income_costs_netrev" numFmtId="0">
      <sharedItems containsString="0" containsBlank="1" containsNumber="1" containsInteger="1" minValue="50918104" maxValue="2816042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Waihou-Piako"/>
    <x v="0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0"/>
    <x v="1"/>
    <n v="1414355374"/>
    <n v="1195580426"/>
    <n v="539290032"/>
    <n v="1857"/>
    <n v="1299"/>
    <n v="1744"/>
    <n v="1805"/>
    <n v="11986"/>
    <n v="8732"/>
    <n v="11780"/>
    <n v="11986"/>
    <n v="0.15490000000000001"/>
    <n v="0.14879999999999999"/>
    <n v="0.14799999999999999"/>
    <n v="0.15060000000000001"/>
    <n v="206"/>
    <n v="8732"/>
    <n v="1433"/>
    <n v="3048"/>
    <n v="1379442.72"/>
    <n v="5738698.1279999996"/>
    <n v="1133888.912"/>
    <n v="133519.21599999999"/>
    <n v="724125.34400000004"/>
    <n v="218774948"/>
  </r>
  <r>
    <s v="Waihou-Piako"/>
    <x v="0"/>
    <x v="2"/>
    <n v="1388621652"/>
    <n v="1176412327"/>
    <n v="516275058"/>
    <n v="2300"/>
    <n v="1619"/>
    <n v="2265"/>
    <n v="2329"/>
    <n v="11701"/>
    <n v="8480"/>
    <n v="11448"/>
    <n v="11701"/>
    <n v="0.1966"/>
    <n v="0.19089999999999999"/>
    <n v="0.19789999999999999"/>
    <n v="0.19900000000000001"/>
    <n v="253"/>
    <n v="8480"/>
    <n v="1718"/>
    <n v="2968"/>
    <n v="1232595.2479999999"/>
    <n v="5371382.6880000103"/>
    <n v="1021632.72"/>
    <n v="122403.34399999899"/>
    <n v="646410.76800000004"/>
    <n v="212209325"/>
  </r>
  <r>
    <s v="Waihou-Piako"/>
    <x v="0"/>
    <x v="3"/>
    <n v="1371598906"/>
    <n v="1165610145"/>
    <n v="435703211"/>
    <n v="2792"/>
    <n v="2053"/>
    <n v="2849"/>
    <n v="2805"/>
    <n v="11456"/>
    <n v="8237"/>
    <n v="11171"/>
    <n v="11456"/>
    <n v="0.2437"/>
    <n v="0.2492"/>
    <n v="0.255"/>
    <n v="0.24479999999999999"/>
    <n v="285"/>
    <n v="8237"/>
    <n v="1963"/>
    <n v="2934"/>
    <n v="1122346.06399999"/>
    <n v="5077642.7680000002"/>
    <n v="910980.57599999697"/>
    <n v="113206.303999999"/>
    <n v="584418.83199999796"/>
    <n v="205988761"/>
  </r>
  <r>
    <s v="Waihou-Piako"/>
    <x v="0"/>
    <x v="4"/>
    <n v="1352155262"/>
    <n v="1151264464"/>
    <n v="392852800"/>
    <n v="3180"/>
    <n v="2387"/>
    <n v="3408"/>
    <n v="3261"/>
    <n v="11270"/>
    <n v="8086"/>
    <n v="10974"/>
    <n v="11270"/>
    <n v="0.28220000000000001"/>
    <n v="0.29520000000000002"/>
    <n v="0.31059999999999999"/>
    <n v="0.28939999999999999"/>
    <n v="296"/>
    <n v="8086"/>
    <n v="2149"/>
    <n v="2888"/>
    <n v="1019124.09599999"/>
    <n v="4778034.432"/>
    <n v="813920.60799999896"/>
    <n v="103720.031999999"/>
    <n v="522956.67200000002"/>
    <n v="200890798"/>
  </r>
  <r>
    <s v="Waihou-Piako"/>
    <x v="0"/>
    <x v="5"/>
    <n v="1342620321"/>
    <n v="1144498439"/>
    <n v="374964916"/>
    <n v="3687"/>
    <n v="2702"/>
    <n v="3931"/>
    <n v="3753"/>
    <n v="11133"/>
    <n v="7954"/>
    <n v="10839"/>
    <n v="11133"/>
    <n v="0.33119999999999999"/>
    <n v="0.3397"/>
    <n v="0.36270000000000002"/>
    <n v="0.33710000000000001"/>
    <n v="294"/>
    <n v="7954"/>
    <n v="2286"/>
    <n v="2885"/>
    <n v="943355.43999999797"/>
    <n v="4547126.5439999904"/>
    <n v="738094.83199999796"/>
    <n v="96836.399999999805"/>
    <n v="477983.456000001"/>
    <n v="198121882"/>
  </r>
  <r>
    <s v="Waihou-Piako"/>
    <x v="0"/>
    <x v="6"/>
    <n v="1329591747"/>
    <n v="1137944185"/>
    <n v="364740154"/>
    <n v="4198"/>
    <n v="2986"/>
    <n v="4305"/>
    <n v="4189"/>
    <n v="10951"/>
    <n v="7778"/>
    <n v="10649"/>
    <n v="10951"/>
    <n v="0.38329999999999997"/>
    <n v="0.38390000000000002"/>
    <n v="0.40429999999999999"/>
    <n v="0.38250000000000001"/>
    <n v="302"/>
    <n v="7778"/>
    <n v="2468"/>
    <n v="2871"/>
    <n v="887153.85599999805"/>
    <n v="4308107.8079999899"/>
    <n v="665648.97599999898"/>
    <n v="89467.808000000106"/>
    <n v="433742.44799999997"/>
    <n v="191647562"/>
  </r>
  <r>
    <s v="Waihou-Piako"/>
    <x v="0"/>
    <x v="7"/>
    <n v="1312680754"/>
    <n v="1125545689"/>
    <n v="370093649"/>
    <n v="4512"/>
    <n v="3305"/>
    <n v="4675"/>
    <n v="4482"/>
    <n v="10795"/>
    <n v="7632"/>
    <n v="10491"/>
    <n v="10795"/>
    <n v="0.41799999999999998"/>
    <n v="0.433"/>
    <n v="0.4456"/>
    <n v="0.41520000000000001"/>
    <n v="304"/>
    <n v="7632"/>
    <n v="2624"/>
    <n v="2859"/>
    <n v="805372.56"/>
    <n v="4071737.1199999899"/>
    <n v="598523.82399999897"/>
    <n v="82686.496000000305"/>
    <n v="388602.86400000099"/>
    <n v="187135065"/>
  </r>
  <r>
    <s v="Waihou-Piako"/>
    <x v="0"/>
    <x v="8"/>
    <n v="1302238124"/>
    <n v="1117826234"/>
    <n v="366746915"/>
    <n v="4921"/>
    <n v="3577"/>
    <n v="4989"/>
    <n v="4866"/>
    <n v="10660"/>
    <n v="7524"/>
    <n v="10363"/>
    <n v="10660"/>
    <n v="0.46160000000000001"/>
    <n v="0.47539999999999999"/>
    <n v="0.48139999999999999"/>
    <n v="0.45650000000000002"/>
    <n v="297"/>
    <n v="7524"/>
    <n v="2759"/>
    <n v="2839"/>
    <n v="745304.75200000103"/>
    <n v="3912447.68"/>
    <n v="552595.88800000097"/>
    <n v="78092.784"/>
    <n v="357283.071999999"/>
    <n v="184411890"/>
  </r>
  <r>
    <s v="Waihou-Piako"/>
    <x v="0"/>
    <x v="9"/>
    <n v="1292494805"/>
    <n v="1111216713"/>
    <n v="364069497"/>
    <n v="5218"/>
    <n v="3818"/>
    <n v="5326"/>
    <n v="5075"/>
    <n v="10494"/>
    <n v="7381"/>
    <n v="10189"/>
    <n v="10494"/>
    <n v="0.49719999999999998"/>
    <n v="0.51729999999999998"/>
    <n v="0.52270000000000005"/>
    <n v="0.48359999999999997"/>
    <n v="305"/>
    <n v="7381"/>
    <n v="2925"/>
    <n v="2808"/>
    <n v="691212.048000001"/>
    <n v="3726599.9680000101"/>
    <n v="514233.80800000002"/>
    <n v="73097.6320000001"/>
    <n v="326050.864"/>
    <n v="181278092"/>
  </r>
  <r>
    <s v="Waihou-Piako"/>
    <x v="0"/>
    <x v="10"/>
    <n v="1282157445"/>
    <n v="1103811554"/>
    <n v="357796201"/>
    <n v="5519"/>
    <n v="4043"/>
    <n v="5685"/>
    <n v="5327"/>
    <n v="10354"/>
    <n v="7285"/>
    <n v="10040"/>
    <n v="10354"/>
    <n v="0.53300000000000003"/>
    <n v="0.55500000000000005"/>
    <n v="0.56620000000000004"/>
    <n v="0.51449999999999996"/>
    <n v="314"/>
    <n v="7285"/>
    <n v="3065"/>
    <n v="2755"/>
    <n v="625571.47199999797"/>
    <n v="3580957.0559999901"/>
    <n v="483296.12800000003"/>
    <n v="69351.536000000197"/>
    <n v="303426.55999999901"/>
    <n v="178345891"/>
  </r>
  <r>
    <s v="Waihou-Piako"/>
    <x v="1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1"/>
    <x v="1"/>
    <n v="1414355374"/>
    <n v="1195580426"/>
    <n v="536940147"/>
    <n v="1941"/>
    <n v="1172"/>
    <n v="1923"/>
    <n v="1854"/>
    <n v="12351"/>
    <n v="9078"/>
    <n v="12167"/>
    <n v="12351"/>
    <n v="0.15720000000000001"/>
    <n v="0.12909999999999999"/>
    <n v="0.15809999999999999"/>
    <n v="0.15010000000000001"/>
    <n v="184"/>
    <n v="9078"/>
    <n v="1068"/>
    <n v="3089"/>
    <n v="1379442.71999999"/>
    <n v="5738698.1279999996"/>
    <n v="1133888.912"/>
    <n v="133519.21599999999"/>
    <n v="724125.34400000004"/>
    <n v="218774948"/>
  </r>
  <r>
    <s v="Waihou-Piako"/>
    <x v="1"/>
    <x v="2"/>
    <n v="1410369197"/>
    <n v="1196314744"/>
    <n v="517770605"/>
    <n v="2566"/>
    <n v="1593"/>
    <n v="2516"/>
    <n v="2499"/>
    <n v="12351"/>
    <n v="9078"/>
    <n v="12167"/>
    <n v="12351"/>
    <n v="0.20780000000000001"/>
    <n v="0.17549999999999999"/>
    <n v="0.20680000000000001"/>
    <n v="0.20230000000000001"/>
    <n v="184"/>
    <n v="9078"/>
    <n v="1068"/>
    <n v="3089"/>
    <n v="1367148.8319999899"/>
    <n v="5561784.0480000097"/>
    <n v="1004919.12"/>
    <n v="125040.671999999"/>
    <n v="667592.255999999"/>
    <n v="214054453"/>
  </r>
  <r>
    <s v="Waihou-Piako"/>
    <x v="1"/>
    <x v="3"/>
    <n v="1406305686"/>
    <n v="1196783663"/>
    <n v="473057366"/>
    <n v="3243"/>
    <n v="2005"/>
    <n v="3146"/>
    <n v="3038"/>
    <n v="12351"/>
    <n v="9078"/>
    <n v="12167"/>
    <n v="12351"/>
    <n v="0.2626"/>
    <n v="0.22090000000000001"/>
    <n v="0.2586"/>
    <n v="0.246"/>
    <n v="184"/>
    <n v="9078"/>
    <n v="1068"/>
    <n v="3089"/>
    <n v="1354394.784"/>
    <n v="5354652.3199999798"/>
    <n v="889758.255999999"/>
    <n v="116355.52"/>
    <n v="610442.78399999999"/>
    <n v="209522023"/>
  </r>
  <r>
    <s v="Waihou-Piako"/>
    <x v="1"/>
    <x v="4"/>
    <n v="1402000135"/>
    <n v="1196623380"/>
    <n v="438342584"/>
    <n v="3826"/>
    <n v="2400"/>
    <n v="3764"/>
    <n v="3604"/>
    <n v="12351"/>
    <n v="9078"/>
    <n v="12167"/>
    <n v="12351"/>
    <n v="0.30980000000000002"/>
    <n v="0.26440000000000002"/>
    <n v="0.30940000000000001"/>
    <n v="0.2918"/>
    <n v="184"/>
    <n v="9078"/>
    <n v="1068"/>
    <n v="3089"/>
    <n v="1341486.78399999"/>
    <n v="5170557.6480000196"/>
    <n v="795226.8"/>
    <n v="108322.128"/>
    <n v="559349.36"/>
    <n v="205376755"/>
  </r>
  <r>
    <s v="Waihou-Piako"/>
    <x v="1"/>
    <x v="5"/>
    <n v="1400591435"/>
    <n v="1197077131"/>
    <n v="392532844"/>
    <n v="4353"/>
    <n v="2972"/>
    <n v="4306"/>
    <n v="4115"/>
    <n v="12351"/>
    <n v="9078"/>
    <n v="12167"/>
    <n v="12351"/>
    <n v="0.35239999999999999"/>
    <n v="0.32740000000000002"/>
    <n v="0.35389999999999999"/>
    <n v="0.3332"/>
    <n v="184"/>
    <n v="9078"/>
    <n v="1068"/>
    <n v="3089"/>
    <n v="1329725.28"/>
    <n v="4989080.1279999902"/>
    <n v="705336.68799999799"/>
    <n v="101554.32"/>
    <n v="515503.16800000001"/>
    <n v="203514304"/>
  </r>
  <r>
    <s v="Waihou-Piako"/>
    <x v="1"/>
    <x v="6"/>
    <n v="1396089949"/>
    <n v="1197739477"/>
    <n v="403608080"/>
    <n v="4950"/>
    <n v="3326"/>
    <n v="4867"/>
    <n v="4604"/>
    <n v="12351"/>
    <n v="9078"/>
    <n v="12167"/>
    <n v="12351"/>
    <n v="0.40079999999999999"/>
    <n v="0.3664"/>
    <n v="0.4"/>
    <n v="0.37280000000000002"/>
    <n v="184"/>
    <n v="9078"/>
    <n v="1068"/>
    <n v="3089"/>
    <n v="1323381.8079999899"/>
    <n v="4825034.8319999902"/>
    <n v="636046.19199999794"/>
    <n v="95088.543999999994"/>
    <n v="471360.8"/>
    <n v="198350472"/>
  </r>
  <r>
    <s v="Waihou-Piako"/>
    <x v="1"/>
    <x v="7"/>
    <n v="1393250787"/>
    <n v="1197403841"/>
    <n v="410049848"/>
    <n v="5343"/>
    <n v="3656"/>
    <n v="5389"/>
    <n v="5012"/>
    <n v="12351"/>
    <n v="9078"/>
    <n v="12167"/>
    <n v="12351"/>
    <n v="0.43259999999999998"/>
    <n v="0.4027"/>
    <n v="0.44290000000000002"/>
    <n v="0.40579999999999999"/>
    <n v="184"/>
    <n v="9078"/>
    <n v="1068"/>
    <n v="3089"/>
    <n v="1310079.2319999901"/>
    <n v="4664597.8080000104"/>
    <n v="565463.59999999905"/>
    <n v="89001.135999999999"/>
    <n v="433904.81599999999"/>
    <n v="195846946"/>
  </r>
  <r>
    <s v="Waihou-Piako"/>
    <x v="1"/>
    <x v="8"/>
    <n v="1391423752"/>
    <n v="1197494504"/>
    <n v="379786464"/>
    <n v="5849"/>
    <n v="3973"/>
    <n v="5965"/>
    <n v="5448"/>
    <n v="12351"/>
    <n v="9078"/>
    <n v="12167"/>
    <n v="12351"/>
    <n v="0.47360000000000002"/>
    <n v="0.43769999999999998"/>
    <n v="0.49030000000000001"/>
    <n v="0.44109999999999999"/>
    <n v="184"/>
    <n v="9078"/>
    <n v="1068"/>
    <n v="3089"/>
    <n v="1302645.39199999"/>
    <n v="4552542.9759999998"/>
    <n v="519727.40799999901"/>
    <n v="84647.1360000001"/>
    <n v="405919.51999999897"/>
    <n v="193929248"/>
  </r>
  <r>
    <s v="Waihou-Piako"/>
    <x v="1"/>
    <x v="9"/>
    <n v="1388112081"/>
    <n v="1196856501"/>
    <n v="375749440"/>
    <n v="6180"/>
    <n v="4316"/>
    <n v="6674"/>
    <n v="5916"/>
    <n v="12351"/>
    <n v="9078"/>
    <n v="12167"/>
    <n v="12351"/>
    <n v="0.50039999999999996"/>
    <n v="0.47539999999999999"/>
    <n v="0.54849999999999999"/>
    <n v="0.47899999999999998"/>
    <n v="184"/>
    <n v="9078"/>
    <n v="1068"/>
    <n v="3089"/>
    <n v="1292043.63199999"/>
    <n v="4414408.8959999997"/>
    <n v="465896.51199999801"/>
    <n v="79699.103999999905"/>
    <n v="375574.76800000097"/>
    <n v="191255580"/>
  </r>
  <r>
    <s v="Waihou-Piako"/>
    <x v="1"/>
    <x v="10"/>
    <n v="1385439615"/>
    <n v="1196595248"/>
    <n v="408307573"/>
    <n v="6556"/>
    <n v="4604"/>
    <n v="7105"/>
    <n v="6296"/>
    <n v="12351"/>
    <n v="9078"/>
    <n v="12167"/>
    <n v="12351"/>
    <n v="0.53080000000000005"/>
    <n v="0.50719999999999998"/>
    <n v="0.58399999999999996"/>
    <n v="0.50980000000000003"/>
    <n v="184"/>
    <n v="9078"/>
    <n v="1068"/>
    <n v="3089"/>
    <n v="1285793.7279999901"/>
    <n v="4292131.3599999798"/>
    <n v="408541.10399999999"/>
    <n v="75557.472000000096"/>
    <n v="350834.272"/>
    <n v="188844367"/>
  </r>
  <r>
    <s v="Waihou-Piako"/>
    <x v="2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2"/>
    <x v="1"/>
    <n v="1414355374"/>
    <n v="1195580426"/>
    <n v="560348737"/>
    <n v="1533"/>
    <n v="983"/>
    <n v="1398"/>
    <n v="1443"/>
    <n v="12194"/>
    <n v="8941"/>
    <n v="12007"/>
    <n v="12194"/>
    <n v="0.12570000000000001"/>
    <n v="0.1099"/>
    <n v="0.1164"/>
    <n v="0.1183"/>
    <n v="187"/>
    <n v="8941"/>
    <n v="1225"/>
    <n v="3066"/>
    <n v="1379442.71999999"/>
    <n v="5738698.1280000098"/>
    <n v="1133888.91199999"/>
    <n v="133519.21599999999"/>
    <n v="724125.34400000004"/>
    <n v="218774948"/>
  </r>
  <r>
    <s v="Waihou-Piako"/>
    <x v="2"/>
    <x v="2"/>
    <n v="1405022734"/>
    <n v="1188948964"/>
    <n v="544045213"/>
    <n v="1745"/>
    <n v="1124"/>
    <n v="1591"/>
    <n v="1634"/>
    <n v="12030"/>
    <n v="8788"/>
    <n v="11830"/>
    <n v="12030"/>
    <n v="0.14510000000000001"/>
    <n v="0.12790000000000001"/>
    <n v="0.13450000000000001"/>
    <n v="0.1358"/>
    <n v="200"/>
    <n v="8788"/>
    <n v="1389"/>
    <n v="3042"/>
    <n v="1318198.48"/>
    <n v="5604322.5279999999"/>
    <n v="1090810.2080000001"/>
    <n v="129350.336"/>
    <n v="695826.52800000005"/>
    <n v="216073770"/>
  </r>
  <r>
    <s v="Waihou-Piako"/>
    <x v="2"/>
    <x v="3"/>
    <n v="1394058213"/>
    <n v="1181752817"/>
    <n v="524108733"/>
    <n v="1896"/>
    <n v="1240"/>
    <n v="1774"/>
    <n v="1764"/>
    <n v="11853"/>
    <n v="8643"/>
    <n v="11639"/>
    <n v="11853"/>
    <n v="0.16"/>
    <n v="0.14349999999999999"/>
    <n v="0.15240000000000001"/>
    <n v="0.14879999999999999"/>
    <n v="214"/>
    <n v="8643"/>
    <n v="1566"/>
    <n v="2996"/>
    <n v="1256047.2"/>
    <n v="5452569.8079999797"/>
    <n v="1041359.29599999"/>
    <n v="125067.887999999"/>
    <n v="664463.51999999804"/>
    <n v="212305396"/>
  </r>
  <r>
    <s v="Waihou-Piako"/>
    <x v="2"/>
    <x v="4"/>
    <n v="1386398241"/>
    <n v="1174718645"/>
    <n v="469381980"/>
    <n v="2086"/>
    <n v="1355"/>
    <n v="1990"/>
    <n v="1939"/>
    <n v="11762"/>
    <n v="8564"/>
    <n v="11538"/>
    <n v="11762"/>
    <n v="0.1774"/>
    <n v="0.15820000000000001"/>
    <n v="0.17249999999999999"/>
    <n v="0.16489999999999999"/>
    <n v="224"/>
    <n v="8564"/>
    <n v="1657"/>
    <n v="2974"/>
    <n v="1188589.264"/>
    <n v="5326176.8159999996"/>
    <n v="997150.14399999904"/>
    <n v="121202.048"/>
    <n v="638524.48"/>
    <n v="211679596"/>
  </r>
  <r>
    <s v="Waihou-Piako"/>
    <x v="2"/>
    <x v="5"/>
    <n v="1378930400"/>
    <n v="1169861189"/>
    <n v="416380375"/>
    <n v="2229"/>
    <n v="1504"/>
    <n v="2218"/>
    <n v="2120"/>
    <n v="11661"/>
    <n v="8445"/>
    <n v="11431"/>
    <n v="11661"/>
    <n v="0.19109999999999999"/>
    <n v="0.17810000000000001"/>
    <n v="0.19400000000000001"/>
    <n v="0.18179999999999999"/>
    <n v="230"/>
    <n v="8445"/>
    <n v="1758"/>
    <n v="2986"/>
    <n v="1153623.264"/>
    <n v="5221564.9279999901"/>
    <n v="959089.61599999899"/>
    <n v="117846.255999999"/>
    <n v="616187.679999999"/>
    <n v="209069211"/>
  </r>
  <r>
    <s v="Waihou-Piako"/>
    <x v="2"/>
    <x v="6"/>
    <n v="1369090377"/>
    <n v="1162110428"/>
    <n v="410131844"/>
    <n v="2426"/>
    <n v="1629"/>
    <n v="2467"/>
    <n v="2312"/>
    <n v="11514"/>
    <n v="8300"/>
    <n v="11277"/>
    <n v="11514"/>
    <n v="0.2107"/>
    <n v="0.1963"/>
    <n v="0.21879999999999999"/>
    <n v="0.20080000000000001"/>
    <n v="237"/>
    <n v="8300"/>
    <n v="1905"/>
    <n v="2977"/>
    <n v="1107929.92"/>
    <n v="5109773.3759999899"/>
    <n v="919724.03199999803"/>
    <n v="114682.064"/>
    <n v="593233.00800000003"/>
    <n v="206979949"/>
  </r>
  <r>
    <s v="Waihou-Piako"/>
    <x v="2"/>
    <x v="7"/>
    <n v="1357772881"/>
    <n v="1154322191"/>
    <n v="413244130"/>
    <n v="2586"/>
    <n v="1755"/>
    <n v="2607"/>
    <n v="2492"/>
    <n v="11438"/>
    <n v="8213"/>
    <n v="11184"/>
    <n v="11438"/>
    <n v="0.2261"/>
    <n v="0.2137"/>
    <n v="0.2331"/>
    <n v="0.21790000000000001"/>
    <n v="254"/>
    <n v="8213"/>
    <n v="1981"/>
    <n v="2971"/>
    <n v="1046842.8959999901"/>
    <n v="4972523.8880000096"/>
    <n v="872408.38399999996"/>
    <n v="110667.68"/>
    <n v="565699.92000000097"/>
    <n v="203450690"/>
  </r>
  <r>
    <s v="Waihou-Piako"/>
    <x v="2"/>
    <x v="8"/>
    <n v="1350909361"/>
    <n v="1148825818"/>
    <n v="431057134"/>
    <n v="2764"/>
    <n v="1847"/>
    <n v="2771"/>
    <n v="2691"/>
    <n v="11354"/>
    <n v="8078"/>
    <n v="11074"/>
    <n v="11354"/>
    <n v="0.24340000000000001"/>
    <n v="0.2286"/>
    <n v="0.25019999999999998"/>
    <n v="0.23699999999999999"/>
    <n v="280"/>
    <n v="8078"/>
    <n v="2065"/>
    <n v="2996"/>
    <n v="1017113.51999999"/>
    <n v="4884861.8239999898"/>
    <n v="839703.63200000103"/>
    <n v="107869.008"/>
    <n v="547268.04799999902"/>
    <n v="202083543"/>
  </r>
  <r>
    <s v="Waihou-Piako"/>
    <x v="2"/>
    <x v="9"/>
    <n v="1339104579"/>
    <n v="1138871314"/>
    <n v="409636864"/>
    <n v="2915"/>
    <n v="1969"/>
    <n v="2925"/>
    <n v="2860"/>
    <n v="11224"/>
    <n v="7984"/>
    <n v="10933"/>
    <n v="11224"/>
    <n v="0.25969999999999999"/>
    <n v="0.24660000000000001"/>
    <n v="0.26750000000000002"/>
    <n v="0.25480000000000003"/>
    <n v="291"/>
    <n v="7984"/>
    <n v="2195"/>
    <n v="2949"/>
    <n v="973686.60800000001"/>
    <n v="4751813.71199999"/>
    <n v="811552.71999999799"/>
    <n v="104218.38400000001"/>
    <n v="524390.04799999995"/>
    <n v="200233265"/>
  </r>
  <r>
    <s v="Waihou-Piako"/>
    <x v="2"/>
    <x v="10"/>
    <n v="1331830243"/>
    <n v="1133958567"/>
    <n v="419009405"/>
    <n v="3062"/>
    <n v="2115"/>
    <n v="3099"/>
    <n v="3041"/>
    <n v="11178"/>
    <n v="7931"/>
    <n v="10878"/>
    <n v="11178"/>
    <n v="0.27389999999999998"/>
    <n v="0.26669999999999999"/>
    <n v="0.28489999999999999"/>
    <n v="0.27210000000000001"/>
    <n v="300"/>
    <n v="7931"/>
    <n v="2241"/>
    <n v="2947"/>
    <n v="928033.40800000005"/>
    <n v="4640285.6800000099"/>
    <n v="785326.88000000105"/>
    <n v="101168.848"/>
    <n v="504572.76799999899"/>
    <n v="197871676"/>
  </r>
  <r>
    <s v="Waihou-Piako"/>
    <x v="3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3"/>
    <x v="1"/>
    <n v="1414355374"/>
    <n v="1195580426"/>
    <n v="539290032"/>
    <n v="1857"/>
    <n v="1299"/>
    <n v="1744"/>
    <n v="1805"/>
    <n v="11986"/>
    <n v="8732"/>
    <n v="11780"/>
    <n v="11986"/>
    <n v="0.15490000000000001"/>
    <n v="0.14879999999999999"/>
    <n v="0.14799999999999999"/>
    <n v="0.15060000000000001"/>
    <n v="206"/>
    <n v="8732"/>
    <n v="1433"/>
    <n v="3048"/>
    <n v="1379442.72"/>
    <n v="5738698.1279999996"/>
    <n v="1133888.912"/>
    <n v="133519.21599999999"/>
    <n v="724125.34400000004"/>
    <n v="218774948"/>
  </r>
  <r>
    <s v="Waihou-Piako"/>
    <x v="3"/>
    <x v="2"/>
    <n v="1249731688"/>
    <n v="1176412327"/>
    <n v="368040856"/>
    <n v="2355"/>
    <n v="1568"/>
    <n v="2189"/>
    <n v="2233"/>
    <n v="11723"/>
    <n v="8530"/>
    <n v="11519"/>
    <n v="11723"/>
    <n v="0.2009"/>
    <n v="0.18379999999999999"/>
    <n v="0.19"/>
    <n v="0.1905"/>
    <n v="204"/>
    <n v="8530"/>
    <n v="1696"/>
    <n v="2989"/>
    <n v="1232595.2479999999"/>
    <n v="5371382.6880000001"/>
    <n v="1021632.72"/>
    <n v="122403.344"/>
    <n v="646410.76799999899"/>
    <n v="73319361"/>
  </r>
  <r>
    <s v="Waihou-Piako"/>
    <x v="3"/>
    <x v="3"/>
    <n v="1236678093"/>
    <n v="1167502437"/>
    <n v="268722386"/>
    <n v="2808"/>
    <n v="1839"/>
    <n v="2534"/>
    <n v="2563"/>
    <n v="11243"/>
    <n v="8159"/>
    <n v="11027"/>
    <n v="11243"/>
    <n v="0.24979999999999999"/>
    <n v="0.22539999999999999"/>
    <n v="0.2298"/>
    <n v="0.22800000000000001"/>
    <n v="216"/>
    <n v="8159"/>
    <n v="2176"/>
    <n v="2868"/>
    <n v="1134521.4719999901"/>
    <n v="5104942.5920000002"/>
    <n v="928105.679999999"/>
    <n v="113993.90399999999"/>
    <n v="589045.98399999796"/>
    <n v="69175656"/>
  </r>
  <r>
    <s v="Waihou-Piako"/>
    <x v="3"/>
    <x v="4"/>
    <n v="1215573501"/>
    <n v="1149478228"/>
    <n v="191482186"/>
    <n v="3258"/>
    <n v="2118"/>
    <n v="2979"/>
    <n v="3009"/>
    <n v="10925"/>
    <n v="7903"/>
    <n v="10683"/>
    <n v="10925"/>
    <n v="0.29820000000000002"/>
    <n v="0.26800000000000002"/>
    <n v="0.27889999999999998"/>
    <n v="0.27539999999999998"/>
    <n v="242"/>
    <n v="7903"/>
    <n v="2494"/>
    <n v="2780"/>
    <n v="960019.55199999595"/>
    <n v="4769657.0240000002"/>
    <n v="832134.46399999596"/>
    <n v="104856.512"/>
    <n v="525622.44799999997"/>
    <n v="66095273"/>
  </r>
  <r>
    <s v="Waihou-Piako"/>
    <x v="3"/>
    <x v="5"/>
    <n v="1200582478"/>
    <n v="1138781608"/>
    <n v="151907575"/>
    <n v="3632"/>
    <n v="2424"/>
    <n v="3551"/>
    <n v="3437"/>
    <n v="10757"/>
    <n v="7770"/>
    <n v="10501"/>
    <n v="10757"/>
    <n v="0.33760000000000001"/>
    <n v="0.312"/>
    <n v="0.3382"/>
    <n v="0.31950000000000001"/>
    <n v="256"/>
    <n v="7770"/>
    <n v="2662"/>
    <n v="2731"/>
    <n v="839892.24000000104"/>
    <n v="4474977.1199999796"/>
    <n v="745728.32"/>
    <n v="96126.9920000001"/>
    <n v="469869.88799999899"/>
    <n v="61800870"/>
  </r>
  <r>
    <s v="Waihou-Piako"/>
    <x v="3"/>
    <x v="6"/>
    <n v="1192197940"/>
    <n v="1130765560"/>
    <n v="137250694"/>
    <n v="3957"/>
    <n v="2658"/>
    <n v="4024"/>
    <n v="3807"/>
    <n v="10525"/>
    <n v="7555"/>
    <n v="10234"/>
    <n v="10525"/>
    <n v="0.376"/>
    <n v="0.3518"/>
    <n v="0.39319999999999999"/>
    <n v="0.36170000000000002"/>
    <n v="291"/>
    <n v="7555"/>
    <n v="2894"/>
    <n v="2679"/>
    <n v="772404.62399999704"/>
    <n v="4262482.8320000004"/>
    <n v="662461.47199999704"/>
    <n v="90062.111999999805"/>
    <n v="429500.12799999898"/>
    <n v="61432380"/>
  </r>
  <r>
    <s v="Waihou-Piako"/>
    <x v="3"/>
    <x v="7"/>
    <n v="1178729374"/>
    <n v="1122186366"/>
    <n v="152664828"/>
    <n v="4299"/>
    <n v="2930"/>
    <n v="4419"/>
    <n v="4185"/>
    <n v="10369"/>
    <n v="7423"/>
    <n v="10064"/>
    <n v="10369"/>
    <n v="0.41460000000000002"/>
    <n v="0.3947"/>
    <n v="0.43909999999999999"/>
    <n v="0.40360000000000001"/>
    <n v="305"/>
    <n v="7423"/>
    <n v="3050"/>
    <n v="2641"/>
    <n v="679687.13599999901"/>
    <n v="4030112.16"/>
    <n v="597765.82400000002"/>
    <n v="83436.048000000097"/>
    <n v="387936.38400000101"/>
    <n v="56543008"/>
  </r>
  <r>
    <s v="Waihou-Piako"/>
    <x v="3"/>
    <x v="8"/>
    <n v="1171117580"/>
    <n v="1116030513"/>
    <n v="148273044"/>
    <n v="4610"/>
    <n v="3126"/>
    <n v="4670"/>
    <n v="4611"/>
    <n v="10230"/>
    <n v="7306"/>
    <n v="9911"/>
    <n v="10230"/>
    <n v="0.4506"/>
    <n v="0.4279"/>
    <n v="0.47120000000000001"/>
    <n v="0.45069999999999999"/>
    <n v="319"/>
    <n v="7306"/>
    <n v="3189"/>
    <n v="2605"/>
    <n v="618902.17599999998"/>
    <n v="3853484.6880000001"/>
    <n v="539523.55199999898"/>
    <n v="78195.072000000102"/>
    <n v="352942.288"/>
    <n v="55087067"/>
  </r>
  <r>
    <s v="Waihou-Piako"/>
    <x v="3"/>
    <x v="9"/>
    <n v="1162971879"/>
    <n v="1109662085"/>
    <n v="158592891"/>
    <n v="4813"/>
    <n v="3381"/>
    <n v="4893"/>
    <n v="4864"/>
    <n v="10013"/>
    <n v="7120"/>
    <n v="9694"/>
    <n v="10013"/>
    <n v="0.48070000000000002"/>
    <n v="0.47489999999999999"/>
    <n v="0.50470000000000004"/>
    <n v="0.48580000000000001"/>
    <n v="319"/>
    <n v="7120"/>
    <n v="3406"/>
    <n v="2574"/>
    <n v="563646.81599999801"/>
    <n v="3668722.5440000002"/>
    <n v="496882.59199999901"/>
    <n v="73292.479999999996"/>
    <n v="321105.63199999998"/>
    <n v="53309794"/>
  </r>
  <r>
    <s v="Waihou-Piako"/>
    <x v="3"/>
    <x v="10"/>
    <n v="1152349232"/>
    <n v="1101431128"/>
    <n v="162253466"/>
    <n v="5221"/>
    <n v="3580"/>
    <n v="5054"/>
    <n v="5152"/>
    <n v="9832"/>
    <n v="6972"/>
    <n v="9504"/>
    <n v="9832"/>
    <n v="0.53100000000000003"/>
    <n v="0.51349999999999996"/>
    <n v="0.53180000000000005"/>
    <n v="0.52400000000000002"/>
    <n v="328"/>
    <n v="6972"/>
    <n v="3587"/>
    <n v="2532"/>
    <n v="484916.41599999898"/>
    <n v="3487141.2639999902"/>
    <n v="475326.33599999902"/>
    <n v="69415.312000000005"/>
    <n v="296310.68800000002"/>
    <n v="50918104"/>
  </r>
  <r>
    <s v="Waihou-Piako"/>
    <x v="4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4"/>
    <x v="1"/>
    <n v="1414355374"/>
    <n v="1195580426"/>
    <n v="562628432"/>
    <n v="1286"/>
    <n v="811"/>
    <n v="1744"/>
    <n v="1256"/>
    <n v="11986"/>
    <n v="8732"/>
    <n v="11780"/>
    <n v="11986"/>
    <n v="0.10730000000000001"/>
    <n v="9.2899999999999996E-2"/>
    <n v="0.14799999999999999"/>
    <n v="0.1048"/>
    <n v="206"/>
    <n v="8732"/>
    <n v="1433"/>
    <n v="3048"/>
    <n v="1379442.71999999"/>
    <n v="5738698.1280000098"/>
    <n v="1133888.912"/>
    <n v="133519.21599999999"/>
    <n v="724125.34400000097"/>
    <n v="218774948"/>
  </r>
  <r>
    <s v="Waihou-Piako"/>
    <x v="4"/>
    <x v="2"/>
    <n v="1390915587"/>
    <n v="1177015933"/>
    <n v="555603543"/>
    <n v="1263"/>
    <n v="767"/>
    <n v="2284"/>
    <n v="1218"/>
    <n v="11624"/>
    <n v="8408"/>
    <n v="11402"/>
    <n v="11624"/>
    <n v="0.1087"/>
    <n v="9.1200000000000003E-2"/>
    <n v="0.20030000000000001"/>
    <n v="0.1048"/>
    <n v="222"/>
    <n v="8408"/>
    <n v="1795"/>
    <n v="2994"/>
    <n v="1243408.8160000001"/>
    <n v="5547521.45599999"/>
    <n v="1090110.4480000001"/>
    <n v="129110.143999999"/>
    <n v="699435.39200000104"/>
    <n v="213899654"/>
  </r>
  <r>
    <s v="Waihou-Piako"/>
    <x v="4"/>
    <x v="3"/>
    <n v="1369601736"/>
    <n v="1159092763"/>
    <n v="525130408"/>
    <n v="1230"/>
    <n v="751"/>
    <n v="2852"/>
    <n v="1197"/>
    <n v="11363"/>
    <n v="8135"/>
    <n v="11121"/>
    <n v="11363"/>
    <n v="0.1082"/>
    <n v="9.2299999999999993E-2"/>
    <n v="0.25650000000000001"/>
    <n v="0.1053"/>
    <n v="242"/>
    <n v="8135"/>
    <n v="2056"/>
    <n v="2986"/>
    <n v="1107960.736"/>
    <n v="5369738.3679999998"/>
    <n v="1045423.232"/>
    <n v="124905.152"/>
    <n v="676959.2"/>
    <n v="210508973"/>
  </r>
  <r>
    <s v="Waihou-Piako"/>
    <x v="4"/>
    <x v="4"/>
    <n v="1351406449"/>
    <n v="1143518699"/>
    <n v="458747408"/>
    <n v="1201"/>
    <n v="743"/>
    <n v="3376"/>
    <n v="1151"/>
    <n v="11083"/>
    <n v="7951"/>
    <n v="10827"/>
    <n v="11083"/>
    <n v="0.1084"/>
    <n v="9.3399999999999997E-2"/>
    <n v="0.31180000000000002"/>
    <n v="0.10390000000000001"/>
    <n v="256"/>
    <n v="7951"/>
    <n v="2336"/>
    <n v="2876"/>
    <n v="1003403.00799999"/>
    <n v="5225686.4800000004"/>
    <n v="995383.87199999904"/>
    <n v="121081.999999999"/>
    <n v="658094.14399999997"/>
    <n v="207887750"/>
  </r>
  <r>
    <s v="Waihou-Piako"/>
    <x v="4"/>
    <x v="5"/>
    <n v="1342563381"/>
    <n v="1135681008"/>
    <n v="424041503"/>
    <n v="1160"/>
    <n v="713"/>
    <n v="3825"/>
    <n v="1149"/>
    <n v="10942"/>
    <n v="7830"/>
    <n v="10656"/>
    <n v="10942"/>
    <n v="0.106"/>
    <n v="9.11E-2"/>
    <n v="0.35899999999999999"/>
    <n v="0.105"/>
    <n v="286"/>
    <n v="7830"/>
    <n v="2477"/>
    <n v="2826"/>
    <n v="903656.27200000302"/>
    <n v="5115974.7839999897"/>
    <n v="941181.66399999894"/>
    <n v="118104.576"/>
    <n v="639024.304"/>
    <n v="206882373"/>
  </r>
  <r>
    <s v="Waihou-Piako"/>
    <x v="4"/>
    <x v="6"/>
    <n v="1334959662"/>
    <n v="1131531268"/>
    <n v="431604170"/>
    <n v="1138"/>
    <n v="683"/>
    <n v="4162"/>
    <n v="1130"/>
    <n v="10710"/>
    <n v="7678"/>
    <n v="10442"/>
    <n v="10710"/>
    <n v="0.10630000000000001"/>
    <n v="8.8999999999999996E-2"/>
    <n v="0.39860000000000001"/>
    <n v="0.1055"/>
    <n v="268"/>
    <n v="7678"/>
    <n v="2709"/>
    <n v="2764"/>
    <n v="856034.78399999999"/>
    <n v="5052633.7439999897"/>
    <n v="898419.63199999998"/>
    <n v="115911.28"/>
    <n v="628223.95200000005"/>
    <n v="203428394"/>
  </r>
  <r>
    <s v="Waihou-Piako"/>
    <x v="4"/>
    <x v="7"/>
    <n v="1326141750"/>
    <n v="1122631766"/>
    <n v="422322635"/>
    <n v="1134"/>
    <n v="670"/>
    <n v="4413"/>
    <n v="1113"/>
    <n v="10574"/>
    <n v="7511"/>
    <n v="10272"/>
    <n v="10574"/>
    <n v="0.1072"/>
    <n v="8.9200000000000002E-2"/>
    <n v="0.42959999999999998"/>
    <n v="0.1053"/>
    <n v="302"/>
    <n v="7511"/>
    <n v="2845"/>
    <n v="2761"/>
    <n v="771334.65600000101"/>
    <n v="4958374.8480000002"/>
    <n v="865363.77599999902"/>
    <n v="113576.208"/>
    <n v="615195.15199999895"/>
    <n v="203509984"/>
  </r>
  <r>
    <s v="Waihou-Piako"/>
    <x v="4"/>
    <x v="8"/>
    <n v="1314150388"/>
    <n v="1112712804"/>
    <n v="415746819"/>
    <n v="1111"/>
    <n v="663"/>
    <n v="4720"/>
    <n v="1073"/>
    <n v="10426"/>
    <n v="7338"/>
    <n v="10092"/>
    <n v="10426"/>
    <n v="0.1066"/>
    <n v="9.0399999999999994E-2"/>
    <n v="0.4677"/>
    <n v="0.10290000000000001"/>
    <n v="334"/>
    <n v="7338"/>
    <n v="2993"/>
    <n v="2754"/>
    <n v="715915.66399999696"/>
    <n v="4879633.7280000001"/>
    <n v="839265.37600000005"/>
    <n v="111557.36"/>
    <n v="604974.97600000002"/>
    <n v="201437584"/>
  </r>
  <r>
    <s v="Waihou-Piako"/>
    <x v="4"/>
    <x v="9"/>
    <n v="1302792439"/>
    <n v="1102132359"/>
    <n v="394408716"/>
    <n v="1097"/>
    <n v="653"/>
    <n v="4933"/>
    <n v="1037"/>
    <n v="10231"/>
    <n v="7102"/>
    <n v="9858"/>
    <n v="10231"/>
    <n v="0.1072"/>
    <n v="9.1899999999999996E-2"/>
    <n v="0.50039999999999996"/>
    <n v="0.1014"/>
    <n v="373"/>
    <n v="7102"/>
    <n v="3188"/>
    <n v="2756"/>
    <n v="657093.10400000098"/>
    <n v="4800049.2479999699"/>
    <n v="816063.35999999696"/>
    <n v="109681.776"/>
    <n v="592861.64800000098"/>
    <n v="200660080"/>
  </r>
  <r>
    <s v="Waihou-Piako"/>
    <x v="4"/>
    <x v="10"/>
    <n v="1284836826"/>
    <n v="1087285476"/>
    <n v="396047667"/>
    <n v="1073"/>
    <n v="635"/>
    <n v="5148"/>
    <n v="1034"/>
    <n v="10060"/>
    <n v="6991"/>
    <n v="9675"/>
    <n v="10060"/>
    <n v="0.1067"/>
    <n v="9.0800000000000006E-2"/>
    <n v="0.53210000000000002"/>
    <n v="0.1028"/>
    <n v="385"/>
    <n v="6991"/>
    <n v="3359"/>
    <n v="2684"/>
    <n v="580118.06399999897"/>
    <n v="4699209.5359999901"/>
    <n v="801400.36799999897"/>
    <n v="107314.208"/>
    <n v="579644.91200000094"/>
    <n v="197551350"/>
  </r>
  <r>
    <s v="Waihou-Piako"/>
    <x v="5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5"/>
    <x v="1"/>
    <n v="1414355374"/>
    <n v="1195580426"/>
    <n v="543151623"/>
    <n v="1758"/>
    <n v="1263"/>
    <n v="1651"/>
    <n v="1746"/>
    <n v="11986"/>
    <n v="8732"/>
    <n v="11780"/>
    <n v="11986"/>
    <n v="0.1467"/>
    <n v="0.14460000000000001"/>
    <n v="0.14019999999999999"/>
    <n v="0.1457"/>
    <n v="206"/>
    <n v="8732"/>
    <n v="1433"/>
    <n v="3048"/>
    <n v="1379442.72"/>
    <n v="5738698.1279999902"/>
    <n v="1133888.912"/>
    <n v="133519.21599999999"/>
    <n v="724125.34400000004"/>
    <n v="218774948"/>
  </r>
  <r>
    <s v="Waihou-Piako"/>
    <x v="5"/>
    <x v="2"/>
    <n v="1389007200"/>
    <n v="1176464310"/>
    <n v="521062944"/>
    <n v="2334"/>
    <n v="1571"/>
    <n v="2204"/>
    <n v="2152"/>
    <n v="11702"/>
    <n v="8431"/>
    <n v="11462"/>
    <n v="11702"/>
    <n v="0.19950000000000001"/>
    <n v="0.18629999999999999"/>
    <n v="0.1923"/>
    <n v="0.18390000000000001"/>
    <n v="240"/>
    <n v="8431"/>
    <n v="1717"/>
    <n v="3031"/>
    <n v="1236302.192"/>
    <n v="5390719.3119999804"/>
    <n v="1037272.8"/>
    <n v="123488.416"/>
    <n v="652778.65599999903"/>
    <n v="212542890"/>
  </r>
  <r>
    <s v="Waihou-Piako"/>
    <x v="5"/>
    <x v="3"/>
    <n v="1365028283"/>
    <n v="1159364255"/>
    <n v="453163136"/>
    <n v="2808"/>
    <n v="1925"/>
    <n v="2687"/>
    <n v="2546"/>
    <n v="11459"/>
    <n v="8237"/>
    <n v="11203"/>
    <n v="11459"/>
    <n v="0.245"/>
    <n v="0.23369999999999999"/>
    <n v="0.23980000000000001"/>
    <n v="0.22220000000000001"/>
    <n v="256"/>
    <n v="8237"/>
    <n v="1960"/>
    <n v="2966"/>
    <n v="1116589.4719999901"/>
    <n v="5088712.0640000002"/>
    <n v="935016.20800000103"/>
    <n v="113914.048"/>
    <n v="589529.24800000002"/>
    <n v="205664028"/>
  </r>
  <r>
    <s v="Waihou-Piako"/>
    <x v="5"/>
    <x v="4"/>
    <n v="1350541181"/>
    <n v="1148922067"/>
    <n v="405165436"/>
    <n v="3172"/>
    <n v="2245"/>
    <n v="3110"/>
    <n v="2977"/>
    <n v="11287"/>
    <n v="8018"/>
    <n v="11003"/>
    <n v="11287"/>
    <n v="0.28100000000000003"/>
    <n v="0.28000000000000003"/>
    <n v="0.28270000000000001"/>
    <n v="0.26379999999999998"/>
    <n v="284"/>
    <n v="8018"/>
    <n v="2132"/>
    <n v="2985"/>
    <n v="1019234.768"/>
    <n v="4846405.4079999998"/>
    <n v="837834.38399999903"/>
    <n v="105948.08"/>
    <n v="533922.25600000005"/>
    <n v="201619114"/>
  </r>
  <r>
    <s v="Waihou-Piako"/>
    <x v="5"/>
    <x v="5"/>
    <n v="1332254399"/>
    <n v="1134835272"/>
    <n v="383914387"/>
    <n v="3562"/>
    <n v="2509"/>
    <n v="3427"/>
    <n v="3329"/>
    <n v="11056"/>
    <n v="7821"/>
    <n v="10758"/>
    <n v="11056"/>
    <n v="0.32219999999999999"/>
    <n v="0.32079999999999997"/>
    <n v="0.31859999999999999"/>
    <n v="0.30109999999999998"/>
    <n v="298"/>
    <n v="7821"/>
    <n v="2363"/>
    <n v="2937"/>
    <n v="941269.69599999895"/>
    <n v="4601666.8480000002"/>
    <n v="770666.91200000094"/>
    <n v="99005.983999999895"/>
    <n v="488600.67199999897"/>
    <n v="197419127"/>
  </r>
  <r>
    <s v="Waihou-Piako"/>
    <x v="5"/>
    <x v="6"/>
    <n v="1318593975"/>
    <n v="1124946904"/>
    <n v="365419894"/>
    <n v="3854"/>
    <n v="2704"/>
    <n v="3869"/>
    <n v="3673"/>
    <n v="10897"/>
    <n v="7685"/>
    <n v="10575"/>
    <n v="10897"/>
    <n v="0.35370000000000001"/>
    <n v="0.35189999999999999"/>
    <n v="0.3659"/>
    <n v="0.33710000000000001"/>
    <n v="322"/>
    <n v="7685"/>
    <n v="2522"/>
    <n v="2890"/>
    <n v="852324.495999999"/>
    <n v="4375992.7679999899"/>
    <n v="712583.29599999799"/>
    <n v="92762.608000000298"/>
    <n v="445400.76799999998"/>
    <n v="193647071"/>
  </r>
  <r>
    <s v="Waihou-Piako"/>
    <x v="5"/>
    <x v="7"/>
    <n v="1307207058"/>
    <n v="1117930092"/>
    <n v="367059600"/>
    <n v="4119"/>
    <n v="2930"/>
    <n v="4206"/>
    <n v="3993"/>
    <n v="10728"/>
    <n v="7504"/>
    <n v="10388"/>
    <n v="10728"/>
    <n v="0.38390000000000002"/>
    <n v="0.39050000000000001"/>
    <n v="0.40489999999999998"/>
    <n v="0.37219999999999998"/>
    <n v="340"/>
    <n v="7504"/>
    <n v="2691"/>
    <n v="2884"/>
    <n v="786825.82400000002"/>
    <n v="4189261.4879999901"/>
    <n v="645375.82400000002"/>
    <n v="87201.488000000099"/>
    <n v="411491.023999998"/>
    <n v="189276966"/>
  </r>
  <r>
    <s v="Waihou-Piako"/>
    <x v="5"/>
    <x v="8"/>
    <n v="1293276477"/>
    <n v="1106560859"/>
    <n v="396780048"/>
    <n v="4424"/>
    <n v="3052"/>
    <n v="4578"/>
    <n v="4350"/>
    <n v="10587"/>
    <n v="7366"/>
    <n v="10235"/>
    <n v="10587"/>
    <n v="0.41789999999999999"/>
    <n v="0.4143"/>
    <n v="0.44729999999999998"/>
    <n v="0.41089999999999999"/>
    <n v="352"/>
    <n v="7366"/>
    <n v="2832"/>
    <n v="2869"/>
    <n v="716993.45599999896"/>
    <n v="4007790.4639999899"/>
    <n v="599105.58399999898"/>
    <n v="82581.456000000006"/>
    <n v="382134.223999999"/>
    <n v="186715618"/>
  </r>
  <r>
    <s v="Waihou-Piako"/>
    <x v="5"/>
    <x v="9"/>
    <n v="1282346896"/>
    <n v="1099652152"/>
    <n v="405853068"/>
    <n v="4620"/>
    <n v="3208"/>
    <n v="4822"/>
    <n v="4614"/>
    <n v="10361"/>
    <n v="7186"/>
    <n v="9990"/>
    <n v="10361"/>
    <n v="0.44590000000000002"/>
    <n v="0.44640000000000002"/>
    <n v="0.48270000000000002"/>
    <n v="0.44529999999999997"/>
    <n v="371"/>
    <n v="7186"/>
    <n v="3058"/>
    <n v="2804"/>
    <n v="658835.728"/>
    <n v="3841019.8559999899"/>
    <n v="549144.751999998"/>
    <n v="77685.967999999993"/>
    <n v="352924.96"/>
    <n v="182694744"/>
  </r>
  <r>
    <s v="Waihou-Piako"/>
    <x v="5"/>
    <x v="10"/>
    <n v="1271084613"/>
    <n v="1090421511"/>
    <n v="382298461"/>
    <n v="4813"/>
    <n v="3400"/>
    <n v="5072"/>
    <n v="4929"/>
    <n v="10157"/>
    <n v="7046"/>
    <n v="9781"/>
    <n v="10157"/>
    <n v="0.47389999999999999"/>
    <n v="0.48249999999999998"/>
    <n v="0.51859999999999995"/>
    <n v="0.48530000000000001"/>
    <n v="376"/>
    <n v="7046"/>
    <n v="3262"/>
    <n v="2735"/>
    <n v="572735.02399999695"/>
    <n v="3659363.088"/>
    <n v="515324.95999999897"/>
    <n v="73603.615999999995"/>
    <n v="326201.21600000001"/>
    <n v="180663102"/>
  </r>
  <r>
    <s v="Waihou-Piako"/>
    <x v="6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6"/>
    <x v="1"/>
    <n v="1414355374"/>
    <n v="1195580426"/>
    <n v="517710883"/>
    <n v="2249"/>
    <n v="1579"/>
    <n v="2345"/>
    <n v="2125"/>
    <n v="11986"/>
    <n v="8732"/>
    <n v="11780"/>
    <n v="11986"/>
    <n v="0.18759999999999999"/>
    <n v="0.18079999999999999"/>
    <n v="0.1991"/>
    <n v="0.17730000000000001"/>
    <n v="206"/>
    <n v="8732"/>
    <n v="1433"/>
    <n v="3048"/>
    <n v="1379442.71999999"/>
    <n v="5738698.1280000098"/>
    <n v="1133888.912"/>
    <n v="133519.215999999"/>
    <n v="724125.34399999899"/>
    <n v="218774948"/>
  </r>
  <r>
    <s v="Waihou-Piako"/>
    <x v="6"/>
    <x v="2"/>
    <n v="1386718202"/>
    <n v="1176641041"/>
    <n v="481453846"/>
    <n v="3073"/>
    <n v="2170"/>
    <n v="3243"/>
    <n v="2879"/>
    <n v="11678"/>
    <n v="8455"/>
    <n v="11429"/>
    <n v="11678"/>
    <n v="0.2631"/>
    <n v="0.25669999999999998"/>
    <n v="0.2838"/>
    <n v="0.2465"/>
    <n v="249"/>
    <n v="8455"/>
    <n v="1741"/>
    <n v="2974"/>
    <n v="1225231.1040000001"/>
    <n v="5267833.2000000104"/>
    <n v="937693.95200000098"/>
    <n v="117140.016"/>
    <n v="610379.88799999899"/>
    <n v="210077161"/>
  </r>
  <r>
    <s v="Waihou-Piako"/>
    <x v="6"/>
    <x v="3"/>
    <n v="1365438462"/>
    <n v="1163056449"/>
    <n v="425822184"/>
    <n v="3878"/>
    <n v="2685"/>
    <n v="4253"/>
    <n v="3669"/>
    <n v="11438"/>
    <n v="8279"/>
    <n v="11189"/>
    <n v="11438"/>
    <n v="0.33900000000000002"/>
    <n v="0.32429999999999998"/>
    <n v="0.38009999999999999"/>
    <n v="0.32079999999999997"/>
    <n v="249"/>
    <n v="8279"/>
    <n v="1981"/>
    <n v="2910"/>
    <n v="1097751.6639999901"/>
    <n v="4885459.5520000001"/>
    <n v="774632.175999998"/>
    <n v="104094.352"/>
    <n v="521889.24799999897"/>
    <n v="202382013"/>
  </r>
  <r>
    <s v="Waihou-Piako"/>
    <x v="6"/>
    <x v="4"/>
    <n v="1350413046"/>
    <n v="1155003237"/>
    <n v="380486787"/>
    <n v="4642"/>
    <n v="3180"/>
    <n v="5068"/>
    <n v="4551"/>
    <n v="11236"/>
    <n v="8125"/>
    <n v="10986"/>
    <n v="11236"/>
    <n v="0.41310000000000002"/>
    <n v="0.39140000000000003"/>
    <n v="0.46129999999999999"/>
    <n v="0.40500000000000003"/>
    <n v="250"/>
    <n v="8125"/>
    <n v="2183"/>
    <n v="2861"/>
    <n v="999510.22400000005"/>
    <n v="4523296.6239999998"/>
    <n v="614393.82400000002"/>
    <n v="91656.175999999905"/>
    <n v="443191.48800000001"/>
    <n v="195409809"/>
  </r>
  <r>
    <s v="Waihou-Piako"/>
    <x v="6"/>
    <x v="5"/>
    <n v="1336620948"/>
    <n v="1147176535"/>
    <n v="355030441"/>
    <n v="5365"/>
    <n v="3672"/>
    <n v="5572"/>
    <n v="5149"/>
    <n v="11034"/>
    <n v="7947"/>
    <n v="10780"/>
    <n v="11034"/>
    <n v="0.48620000000000002"/>
    <n v="0.46210000000000001"/>
    <n v="0.51690000000000003"/>
    <n v="0.46660000000000001"/>
    <n v="254"/>
    <n v="7947"/>
    <n v="2385"/>
    <n v="2833"/>
    <n v="911472.81599999999"/>
    <n v="4160129.568"/>
    <n v="502240.11199999898"/>
    <n v="80533.967999999804"/>
    <n v="374103.24799999897"/>
    <n v="189444413"/>
  </r>
  <r>
    <s v="Waihou-Piako"/>
    <x v="6"/>
    <x v="6"/>
    <n v="1320471636"/>
    <n v="1139545972"/>
    <n v="371057439"/>
    <n v="5873"/>
    <n v="4086"/>
    <n v="6369"/>
    <n v="5635"/>
    <n v="10877"/>
    <n v="7800"/>
    <n v="10605"/>
    <n v="10877"/>
    <n v="0.53990000000000005"/>
    <n v="0.52380000000000004"/>
    <n v="0.60060000000000002"/>
    <n v="0.5181"/>
    <n v="272"/>
    <n v="7800"/>
    <n v="2542"/>
    <n v="2805"/>
    <n v="831964.95999999903"/>
    <n v="3865147.6799999801"/>
    <n v="436686.65600000002"/>
    <n v="72098.672000000093"/>
    <n v="322631.13599999901"/>
    <n v="180925664"/>
  </r>
  <r>
    <s v="Waihou-Piako"/>
    <x v="6"/>
    <x v="7"/>
    <n v="1307406558"/>
    <n v="1130336401"/>
    <n v="378760354"/>
    <n v="6420"/>
    <n v="4488"/>
    <n v="6780"/>
    <n v="6183"/>
    <n v="10627"/>
    <n v="7575"/>
    <n v="10332"/>
    <n v="10627"/>
    <n v="0.60409999999999997"/>
    <n v="0.59250000000000003"/>
    <n v="0.65620000000000001"/>
    <n v="0.58179999999999998"/>
    <n v="295"/>
    <n v="7575"/>
    <n v="2792"/>
    <n v="2757"/>
    <n v="758212.04799999902"/>
    <n v="3634450.6719999998"/>
    <n v="384976.41599999799"/>
    <n v="65591.024000000005"/>
    <n v="284609.647999999"/>
    <n v="177070157"/>
  </r>
  <r>
    <s v="Waihou-Piako"/>
    <x v="6"/>
    <x v="8"/>
    <n v="1291305827"/>
    <n v="1118742832"/>
    <n v="365764952"/>
    <n v="6699"/>
    <n v="4756"/>
    <n v="7248"/>
    <n v="6665"/>
    <n v="10476"/>
    <n v="7420"/>
    <n v="10174"/>
    <n v="10476"/>
    <n v="0.63949999999999996"/>
    <n v="0.64100000000000001"/>
    <n v="0.71240000000000003"/>
    <n v="0.63619999999999999"/>
    <n v="302"/>
    <n v="7420"/>
    <n v="2943"/>
    <n v="2754"/>
    <n v="661491.93599999906"/>
    <n v="3355730.2080000001"/>
    <n v="343081.071999999"/>
    <n v="59245.279999999999"/>
    <n v="243286.49600000001"/>
    <n v="172562995"/>
  </r>
  <r>
    <s v="Waihou-Piako"/>
    <x v="6"/>
    <x v="9"/>
    <n v="1279045783"/>
    <n v="1109819484"/>
    <n v="356175952"/>
    <n v="7034"/>
    <n v="5020"/>
    <n v="7586"/>
    <n v="7022"/>
    <n v="10291"/>
    <n v="7264"/>
    <n v="9998"/>
    <n v="10291"/>
    <n v="0.6835"/>
    <n v="0.69110000000000005"/>
    <n v="0.75880000000000003"/>
    <n v="0.68230000000000002"/>
    <n v="293"/>
    <n v="7264"/>
    <n v="3128"/>
    <n v="2734"/>
    <n v="594712.22400000005"/>
    <n v="3145556.6399999801"/>
    <n v="320851.887999998"/>
    <n v="54701.760000000097"/>
    <n v="219485.36"/>
    <n v="169226299"/>
  </r>
  <r>
    <s v="Waihou-Piako"/>
    <x v="6"/>
    <x v="10"/>
    <n v="1266487359"/>
    <n v="1100689749"/>
    <n v="366881214"/>
    <n v="7387"/>
    <n v="5327"/>
    <n v="7760"/>
    <n v="7253"/>
    <n v="10154"/>
    <n v="7127"/>
    <n v="9859"/>
    <n v="10154"/>
    <n v="0.72750000000000004"/>
    <n v="0.74739999999999995"/>
    <n v="0.78710000000000002"/>
    <n v="0.71430000000000005"/>
    <n v="295"/>
    <n v="7127"/>
    <n v="3265"/>
    <n v="2732"/>
    <n v="525871.98400000005"/>
    <n v="2960370.41600001"/>
    <n v="299744.31999999803"/>
    <n v="51059.68"/>
    <n v="198028.64"/>
    <n v="165797610"/>
  </r>
  <r>
    <s v="Waihou-Piako"/>
    <x v="7"/>
    <x v="0"/>
    <n v="1414664765"/>
    <n v="1196543938"/>
    <n v="413244508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7"/>
    <x v="1"/>
    <n v="1414355374"/>
    <n v="1195580426"/>
    <n v="539290032"/>
    <n v="1857"/>
    <n v="1299"/>
    <n v="1744"/>
    <n v="1805"/>
    <n v="11986"/>
    <n v="8732"/>
    <n v="11780"/>
    <n v="11986"/>
    <n v="0.15490000000000001"/>
    <n v="0.14879999999999999"/>
    <n v="0.14799999999999999"/>
    <n v="0.15060000000000001"/>
    <n v="206"/>
    <n v="8732"/>
    <n v="1433"/>
    <n v="3048"/>
    <n v="1379442.72"/>
    <n v="5738698.1279999996"/>
    <n v="1133888.912"/>
    <n v="133519.21599999999"/>
    <n v="724125.34400000004"/>
    <n v="218774948"/>
  </r>
  <r>
    <s v="Waihou-Piako"/>
    <x v="7"/>
    <x v="2"/>
    <n v="1458016601"/>
    <n v="1176412327"/>
    <n v="556806389"/>
    <n v="2522"/>
    <n v="1752"/>
    <n v="2462"/>
    <n v="2468"/>
    <n v="11871"/>
    <n v="8518"/>
    <n v="11645"/>
    <n v="11871"/>
    <n v="0.21249999999999999"/>
    <n v="0.20569999999999999"/>
    <n v="0.2114"/>
    <n v="0.2079"/>
    <n v="226"/>
    <n v="8518"/>
    <n v="1548"/>
    <n v="3127"/>
    <n v="1232595.2479999999"/>
    <n v="5371382.6880000103"/>
    <n v="1021632.71999999"/>
    <n v="122403.344"/>
    <n v="646410.76799999899"/>
    <n v="281604274"/>
  </r>
  <r>
    <s v="Waihou-Piako"/>
    <x v="7"/>
    <x v="3"/>
    <n v="1434788654"/>
    <n v="1162438388"/>
    <n v="567786579"/>
    <n v="3035"/>
    <n v="2062"/>
    <n v="3027"/>
    <n v="2926"/>
    <n v="11616"/>
    <n v="8271"/>
    <n v="11368"/>
    <n v="11616"/>
    <n v="0.26129999999999998"/>
    <n v="0.24929999999999999"/>
    <n v="0.26629999999999998"/>
    <n v="0.25190000000000001"/>
    <n v="248"/>
    <n v="8271"/>
    <n v="1803"/>
    <n v="3097"/>
    <n v="1164119.088"/>
    <n v="5055740"/>
    <n v="905655.27999999805"/>
    <n v="111711.31200000001"/>
    <n v="577607.61600000004"/>
    <n v="272350266"/>
  </r>
  <r>
    <s v="Waihou-Piako"/>
    <x v="7"/>
    <x v="4"/>
    <n v="1416589798"/>
    <n v="1148955578"/>
    <n v="504227139"/>
    <n v="3473"/>
    <n v="2406"/>
    <n v="3490"/>
    <n v="3448"/>
    <n v="11405"/>
    <n v="8106"/>
    <n v="11142"/>
    <n v="11405"/>
    <n v="0.30449999999999999"/>
    <n v="0.29680000000000001"/>
    <n v="0.31319999999999998"/>
    <n v="0.30230000000000001"/>
    <n v="263"/>
    <n v="8106"/>
    <n v="2014"/>
    <n v="3036"/>
    <n v="1062449.824"/>
    <n v="4786971.9040000001"/>
    <n v="799629.95199999795"/>
    <n v="102926.704"/>
    <n v="519423.919999998"/>
    <n v="267634220"/>
  </r>
  <r>
    <s v="Waihou-Piako"/>
    <x v="7"/>
    <x v="5"/>
    <n v="1403535370"/>
    <n v="1141572338"/>
    <n v="473864019"/>
    <n v="3927"/>
    <n v="2745"/>
    <n v="3960"/>
    <n v="3829"/>
    <n v="11195"/>
    <n v="7924"/>
    <n v="10918"/>
    <n v="11195"/>
    <n v="0.3508"/>
    <n v="0.34639999999999999"/>
    <n v="0.36270000000000002"/>
    <n v="0.34200000000000003"/>
    <n v="277"/>
    <n v="7924"/>
    <n v="2224"/>
    <n v="2994"/>
    <n v="975790.94400000095"/>
    <n v="4531315.3759999797"/>
    <n v="715055.18400000001"/>
    <n v="95349.872000000003"/>
    <n v="469279.6"/>
    <n v="261963032"/>
  </r>
  <r>
    <s v="Waihou-Piako"/>
    <x v="7"/>
    <x v="6"/>
    <n v="1388570968"/>
    <n v="1130966168"/>
    <n v="462211047"/>
    <n v="4376"/>
    <n v="3028"/>
    <n v="4370"/>
    <n v="4326"/>
    <n v="10949"/>
    <n v="7720"/>
    <n v="10666"/>
    <n v="10949"/>
    <n v="0.3997"/>
    <n v="0.39219999999999999"/>
    <n v="0.40970000000000001"/>
    <n v="0.39510000000000001"/>
    <n v="283"/>
    <n v="7720"/>
    <n v="2470"/>
    <n v="2946"/>
    <n v="892580.576"/>
    <n v="4312003.88799999"/>
    <n v="654187.15200000105"/>
    <n v="88951.872000000003"/>
    <n v="426727.45600000001"/>
    <n v="257604800"/>
  </r>
  <r>
    <s v="Waihou-Piako"/>
    <x v="7"/>
    <x v="7"/>
    <n v="1372941109"/>
    <n v="1121884328"/>
    <n v="498894101"/>
    <n v="4704"/>
    <n v="3267"/>
    <n v="4858"/>
    <n v="4790"/>
    <n v="10780"/>
    <n v="7543"/>
    <n v="10467"/>
    <n v="10780"/>
    <n v="0.43640000000000001"/>
    <n v="0.43309999999999998"/>
    <n v="0.46410000000000001"/>
    <n v="0.44429999999999997"/>
    <n v="313"/>
    <n v="7543"/>
    <n v="2639"/>
    <n v="2924"/>
    <n v="797010.24"/>
    <n v="4029478.67199999"/>
    <n v="584272.48"/>
    <n v="81432.8320000003"/>
    <n v="380078.49599999998"/>
    <n v="251056781"/>
  </r>
  <r>
    <s v="Waihou-Piako"/>
    <x v="7"/>
    <x v="8"/>
    <n v="1358865564"/>
    <n v="1112232487"/>
    <n v="478584586"/>
    <n v="5113"/>
    <n v="3461"/>
    <n v="5213"/>
    <n v="5183"/>
    <n v="10591"/>
    <n v="7399"/>
    <n v="10259"/>
    <n v="10591"/>
    <n v="0.48280000000000001"/>
    <n v="0.46779999999999999"/>
    <n v="0.5081"/>
    <n v="0.4894"/>
    <n v="332"/>
    <n v="7399"/>
    <n v="2828"/>
    <n v="2860"/>
    <n v="727653.15199999802"/>
    <n v="3824545.3759999899"/>
    <n v="530387.28"/>
    <n v="75913.248000000094"/>
    <n v="344835.08799999999"/>
    <n v="246633077"/>
  </r>
  <r>
    <s v="Waihou-Piako"/>
    <x v="7"/>
    <x v="9"/>
    <n v="1348746077"/>
    <n v="1105239095"/>
    <n v="486234818"/>
    <n v="5359"/>
    <n v="3673"/>
    <n v="5536"/>
    <n v="5422"/>
    <n v="10475"/>
    <n v="7286"/>
    <n v="10131"/>
    <n v="10475"/>
    <n v="0.51160000000000005"/>
    <n v="0.50409999999999999"/>
    <n v="0.5464"/>
    <n v="0.51759999999999995"/>
    <n v="344"/>
    <n v="7286"/>
    <n v="2944"/>
    <n v="2845"/>
    <n v="654441.951999999"/>
    <n v="3636583.1199999801"/>
    <n v="465089.99999999802"/>
    <n v="70611.408000000098"/>
    <n v="310417.61599999998"/>
    <n v="243506982"/>
  </r>
  <r>
    <s v="Waihou-Piako"/>
    <x v="7"/>
    <x v="10"/>
    <n v="1338991678"/>
    <n v="1097919214"/>
    <n v="495243915"/>
    <n v="5534"/>
    <n v="3935"/>
    <n v="5777"/>
    <n v="5685"/>
    <n v="10307"/>
    <n v="7126"/>
    <n v="9978"/>
    <n v="10307"/>
    <n v="0.53690000000000004"/>
    <n v="0.55220000000000002"/>
    <n v="0.57899999999999996"/>
    <n v="0.55159999999999998"/>
    <n v="329"/>
    <n v="7126"/>
    <n v="3112"/>
    <n v="2852"/>
    <n v="607010.60800000001"/>
    <n v="3502770.3840000099"/>
    <n v="449769.05599999998"/>
    <n v="67274.127999999997"/>
    <n v="291664.22399999999"/>
    <n v="241072464"/>
  </r>
  <r>
    <s v="Waihou-Piako"/>
    <x v="8"/>
    <x v="0"/>
    <n v="1420128412"/>
    <n v="1196293021"/>
    <n v="434758145"/>
    <n v="398"/>
    <n v="301"/>
    <n v="427"/>
    <n v="424"/>
    <n v="12351"/>
    <n v="9078"/>
    <n v="12167"/>
    <n v="12351"/>
    <n v="3.2199999999999999E-2"/>
    <n v="3.32E-2"/>
    <n v="3.5099999999999999E-2"/>
    <n v="3.4299999999999997E-2"/>
    <n v="184"/>
    <n v="9078"/>
    <n v="1068"/>
    <n v="3089"/>
    <n v="1396309.45599999"/>
    <n v="6020486.0160000101"/>
    <n v="1311862.496"/>
    <n v="146604.12799999901"/>
    <n v="813662.07999999798"/>
    <n v="223835391"/>
  </r>
  <r>
    <s v="Waihou-Piako"/>
    <x v="8"/>
    <x v="1"/>
    <n v="1419823939"/>
    <n v="1195330084"/>
    <n v="554645051"/>
    <n v="846"/>
    <n v="760"/>
    <n v="1029"/>
    <n v="1030"/>
    <n v="11922"/>
    <n v="8698"/>
    <n v="11725"/>
    <n v="11922"/>
    <n v="7.0999999999999994E-2"/>
    <n v="8.7400000000000005E-2"/>
    <n v="8.7800000000000003E-2"/>
    <n v="8.6400000000000005E-2"/>
    <n v="197"/>
    <n v="8698"/>
    <n v="1497"/>
    <n v="3027"/>
    <n v="1396305.4399999899"/>
    <n v="6021924.5280000204"/>
    <n v="1312340.5120000001"/>
    <n v="146541.21599999999"/>
    <n v="813317.40800000005"/>
    <n v="224493855"/>
  </r>
  <r>
    <s v="Waihou-Piako"/>
    <x v="8"/>
    <x v="2"/>
    <n v="1391301020"/>
    <n v="1175036253"/>
    <n v="513874409"/>
    <n v="1410"/>
    <n v="1163"/>
    <n v="1645"/>
    <n v="1620"/>
    <n v="11600"/>
    <n v="8396"/>
    <n v="11385"/>
    <n v="11600"/>
    <n v="0.1216"/>
    <n v="0.13850000000000001"/>
    <n v="0.14449999999999999"/>
    <n v="0.13969999999999999"/>
    <n v="215"/>
    <n v="8396"/>
    <n v="1819"/>
    <n v="2989"/>
    <n v="1229434.97599999"/>
    <n v="5611301.8720000004"/>
    <n v="1177004.352"/>
    <n v="134266.62400000001"/>
    <n v="728879.647999999"/>
    <n v="216264767"/>
  </r>
  <r>
    <s v="Waihou-Piako"/>
    <x v="8"/>
    <x v="3"/>
    <n v="1367754043"/>
    <n v="1158532802"/>
    <n v="449738018"/>
    <n v="1920"/>
    <n v="1500"/>
    <n v="2248"/>
    <n v="2125"/>
    <n v="11345"/>
    <n v="8208"/>
    <n v="11112"/>
    <n v="11345"/>
    <n v="0.16919999999999999"/>
    <n v="0.1827"/>
    <n v="0.20230000000000001"/>
    <n v="0.18729999999999999"/>
    <n v="233"/>
    <n v="8208"/>
    <n v="2074"/>
    <n v="2904"/>
    <n v="1097386.048"/>
    <n v="5245459.824"/>
    <n v="1045450.60799999"/>
    <n v="122658.20799999899"/>
    <n v="649787.71199999901"/>
    <n v="209221241"/>
  </r>
  <r>
    <s v="Waihou-Piako"/>
    <x v="8"/>
    <x v="4"/>
    <n v="1355958119"/>
    <n v="1149707871"/>
    <n v="372526482"/>
    <n v="2386"/>
    <n v="1799"/>
    <n v="2833"/>
    <n v="2706"/>
    <n v="11136"/>
    <n v="8076"/>
    <n v="10877"/>
    <n v="11136"/>
    <n v="0.21429999999999999"/>
    <n v="0.2228"/>
    <n v="0.26050000000000001"/>
    <n v="0.24299999999999999"/>
    <n v="259"/>
    <n v="8076"/>
    <n v="2283"/>
    <n v="2801"/>
    <n v="999124.20799999801"/>
    <n v="4970752.3039999902"/>
    <n v="914361.61599999899"/>
    <n v="113274.56"/>
    <n v="583589.00799999898"/>
    <n v="206250248"/>
  </r>
  <r>
    <s v="Waihou-Piako"/>
    <x v="8"/>
    <x v="5"/>
    <n v="1349492286"/>
    <n v="1146341744"/>
    <n v="359681109"/>
    <n v="2760"/>
    <n v="2171"/>
    <n v="3262"/>
    <n v="3113"/>
    <n v="10968"/>
    <n v="7909"/>
    <n v="10695"/>
    <n v="10968"/>
    <n v="0.25159999999999999"/>
    <n v="0.27450000000000002"/>
    <n v="0.30499999999999999"/>
    <n v="0.2838"/>
    <n v="273"/>
    <n v="7909"/>
    <n v="2451"/>
    <n v="2786"/>
    <n v="920156.00000000198"/>
    <n v="4696218.0319999699"/>
    <n v="807432.65599999798"/>
    <n v="104195.16800000001"/>
    <n v="524293.23199999996"/>
    <n v="203150542"/>
  </r>
  <r>
    <s v="Waihou-Piako"/>
    <x v="8"/>
    <x v="6"/>
    <n v="1337037177"/>
    <n v="1138388719"/>
    <n v="349211098"/>
    <n v="3159"/>
    <n v="2589"/>
    <n v="3648"/>
    <n v="3623"/>
    <n v="10780"/>
    <n v="7746"/>
    <n v="10502"/>
    <n v="10780"/>
    <n v="0.29299999999999998"/>
    <n v="0.3342"/>
    <n v="0.34739999999999999"/>
    <n v="0.33610000000000001"/>
    <n v="278"/>
    <n v="7746"/>
    <n v="2639"/>
    <n v="2756"/>
    <n v="850773.055999998"/>
    <n v="4476370.41599999"/>
    <n v="743854.52799999795"/>
    <n v="97539.6800000004"/>
    <n v="479993.136"/>
    <n v="198648458"/>
  </r>
  <r>
    <s v="Waihou-Piako"/>
    <x v="8"/>
    <x v="7"/>
    <n v="1323436705"/>
    <n v="1129932724"/>
    <n v="367556412"/>
    <n v="3633"/>
    <n v="2872"/>
    <n v="4023"/>
    <n v="3918"/>
    <n v="10549"/>
    <n v="7567"/>
    <n v="10283"/>
    <n v="10549"/>
    <n v="0.34439999999999998"/>
    <n v="0.3795"/>
    <n v="0.39119999999999999"/>
    <n v="0.37140000000000001"/>
    <n v="266"/>
    <n v="7567"/>
    <n v="2870"/>
    <n v="2716"/>
    <n v="774307.91999999899"/>
    <n v="4237261.8399999896"/>
    <n v="655977.631999998"/>
    <n v="90389.312000000005"/>
    <n v="432697.02399999899"/>
    <n v="193503981"/>
  </r>
  <r>
    <s v="Waihou-Piako"/>
    <x v="8"/>
    <x v="8"/>
    <n v="1308919734"/>
    <n v="1119884897"/>
    <n v="387460122"/>
    <n v="4032"/>
    <n v="3081"/>
    <n v="4416"/>
    <n v="4224"/>
    <n v="10379"/>
    <n v="7406"/>
    <n v="10098"/>
    <n v="10379"/>
    <n v="0.38850000000000001"/>
    <n v="0.41599999999999998"/>
    <n v="0.43730000000000002"/>
    <n v="0.40699999999999997"/>
    <n v="281"/>
    <n v="7406"/>
    <n v="3040"/>
    <n v="2692"/>
    <n v="686746.03199999896"/>
    <n v="4029570.2560000098"/>
    <n v="602409.728"/>
    <n v="84271.472000000198"/>
    <n v="391614.99199999898"/>
    <n v="189034837"/>
  </r>
  <r>
    <s v="Waihou-Piako"/>
    <x v="8"/>
    <x v="9"/>
    <n v="1297466811"/>
    <n v="1111186155"/>
    <n v="396337243"/>
    <n v="4328"/>
    <n v="3259"/>
    <n v="4715"/>
    <n v="4496"/>
    <n v="10182"/>
    <n v="7225"/>
    <n v="9894"/>
    <n v="10182"/>
    <n v="0.42509999999999998"/>
    <n v="0.4511"/>
    <n v="0.47660000000000002"/>
    <n v="0.44159999999999999"/>
    <n v="288"/>
    <n v="7225"/>
    <n v="3237"/>
    <n v="2669"/>
    <n v="615222.73599999805"/>
    <n v="3845561.9679999901"/>
    <n v="549166.75199999905"/>
    <n v="78624.032000000094"/>
    <n v="357156.19199999899"/>
    <n v="186280656"/>
  </r>
  <r>
    <s v="Waihou-Piako"/>
    <x v="8"/>
    <x v="10"/>
    <n v="1282617395"/>
    <n v="1100895938"/>
    <n v="377979084"/>
    <n v="4570"/>
    <n v="3407"/>
    <n v="5096"/>
    <n v="4719"/>
    <n v="10032"/>
    <n v="7075"/>
    <n v="9725"/>
    <n v="10032"/>
    <n v="0.45550000000000002"/>
    <n v="0.48159999999999997"/>
    <n v="0.52400000000000002"/>
    <n v="0.47039999999999998"/>
    <n v="307"/>
    <n v="7075"/>
    <n v="3387"/>
    <n v="2650"/>
    <n v="538126.35199999996"/>
    <n v="3666015.28"/>
    <n v="514087.98399999802"/>
    <n v="74118.448000000193"/>
    <n v="329637.75999999902"/>
    <n v="181721457"/>
  </r>
  <r>
    <s v="Waihou-Piako"/>
    <x v="9"/>
    <x v="0"/>
    <n v="1414664765"/>
    <n v="1196543938"/>
    <n v="456936547"/>
    <n v="1332"/>
    <n v="840"/>
    <n v="1219"/>
    <n v="1267"/>
    <n v="12351"/>
    <n v="9078"/>
    <n v="12167"/>
    <n v="12351"/>
    <n v="0.10780000000000001"/>
    <n v="9.2499999999999999E-2"/>
    <n v="0.1002"/>
    <n v="0.1026"/>
    <n v="184"/>
    <n v="9078"/>
    <n v="1068"/>
    <n v="3089"/>
    <n v="1379504.32"/>
    <n v="5738137.5199999996"/>
    <n v="1133321.15199999"/>
    <n v="133573.856"/>
    <n v="724425.82399999897"/>
    <n v="218120827"/>
  </r>
  <r>
    <s v="Waihou-Piako"/>
    <x v="9"/>
    <x v="1"/>
    <n v="1414355374"/>
    <n v="1195580426"/>
    <n v="578313556"/>
    <n v="1883"/>
    <n v="1222"/>
    <n v="1816"/>
    <n v="1794"/>
    <n v="11957"/>
    <n v="8727"/>
    <n v="11745"/>
    <n v="11957"/>
    <n v="0.1575"/>
    <n v="0.14000000000000001"/>
    <n v="0.15459999999999999"/>
    <n v="0.15"/>
    <n v="212"/>
    <n v="8727"/>
    <n v="1462"/>
    <n v="3018"/>
    <n v="1379442.71999999"/>
    <n v="5738698.1279999996"/>
    <n v="1133888.91199999"/>
    <n v="133519.21599999999"/>
    <n v="724125.34400000097"/>
    <n v="218774948"/>
  </r>
  <r>
    <s v="Waihou-Piako"/>
    <x v="9"/>
    <x v="2"/>
    <n v="1387482296"/>
    <n v="1176189269"/>
    <n v="590710081"/>
    <n v="2392"/>
    <n v="1543"/>
    <n v="2273"/>
    <n v="2329"/>
    <n v="11480"/>
    <n v="8288"/>
    <n v="11240"/>
    <n v="11480"/>
    <n v="0.2084"/>
    <n v="0.1862"/>
    <n v="0.20219999999999999"/>
    <n v="0.2029"/>
    <n v="240"/>
    <n v="8288"/>
    <n v="1939"/>
    <n v="2952"/>
    <n v="1224353.216"/>
    <n v="5361287.4400000097"/>
    <n v="1009823.93599999"/>
    <n v="122081.68"/>
    <n v="647814.33599999896"/>
    <n v="211293027"/>
  </r>
  <r>
    <s v="Waihou-Piako"/>
    <x v="9"/>
    <x v="3"/>
    <n v="1356163897"/>
    <n v="1151886120"/>
    <n v="548971635"/>
    <n v="2913"/>
    <n v="1873"/>
    <n v="2800"/>
    <n v="2767"/>
    <n v="11254"/>
    <n v="8075"/>
    <n v="11027"/>
    <n v="11254"/>
    <n v="0.25879999999999997"/>
    <n v="0.23200000000000001"/>
    <n v="0.25390000000000001"/>
    <n v="0.24590000000000001"/>
    <n v="227"/>
    <n v="8075"/>
    <n v="2165"/>
    <n v="2952"/>
    <n v="1038216.52799999"/>
    <n v="4949834.2240000004"/>
    <n v="889912.19199999899"/>
    <n v="110852.144"/>
    <n v="572280.99199999997"/>
    <n v="204277777"/>
  </r>
  <r>
    <s v="Waihou-Piako"/>
    <x v="9"/>
    <x v="4"/>
    <n v="1337264738"/>
    <n v="1138056579"/>
    <n v="467275396"/>
    <n v="3379"/>
    <n v="2147"/>
    <n v="3248"/>
    <n v="3147"/>
    <n v="11017"/>
    <n v="7861"/>
    <n v="10763"/>
    <n v="11017"/>
    <n v="0.30669999999999997"/>
    <n v="0.27310000000000001"/>
    <n v="0.30180000000000001"/>
    <n v="0.28560000000000002"/>
    <n v="254"/>
    <n v="7861"/>
    <n v="2402"/>
    <n v="2902"/>
    <n v="943415.02399999904"/>
    <n v="4682871.3600000096"/>
    <n v="810312.99199999799"/>
    <n v="102291.632"/>
    <n v="517429.05599999998"/>
    <n v="199208159"/>
  </r>
  <r>
    <s v="Waihou-Piako"/>
    <x v="9"/>
    <x v="5"/>
    <n v="1322059127"/>
    <n v="1127463928"/>
    <n v="437329086"/>
    <n v="3800"/>
    <n v="2390"/>
    <n v="3637"/>
    <n v="3496"/>
    <n v="10825"/>
    <n v="7686"/>
    <n v="10563"/>
    <n v="10825"/>
    <n v="0.35099999999999998"/>
    <n v="0.311"/>
    <n v="0.34429999999999999"/>
    <n v="0.32300000000000001"/>
    <n v="262"/>
    <n v="7686"/>
    <n v="2594"/>
    <n v="2877"/>
    <n v="848928.78400000103"/>
    <n v="4450490.4319999898"/>
    <n v="724845.96799999895"/>
    <n v="95056.767999999996"/>
    <n v="468144.38399999897"/>
    <n v="194595199"/>
  </r>
  <r>
    <s v="Waihou-Piako"/>
    <x v="9"/>
    <x v="6"/>
    <n v="1308220309"/>
    <n v="1119522175"/>
    <n v="415090950"/>
    <n v="4219"/>
    <n v="2684"/>
    <n v="4088"/>
    <n v="3860"/>
    <n v="10644"/>
    <n v="7524"/>
    <n v="10377"/>
    <n v="10644"/>
    <n v="0.39639999999999997"/>
    <n v="0.35670000000000002"/>
    <n v="0.39389999999999997"/>
    <n v="0.36259999999999998"/>
    <n v="267"/>
    <n v="7524"/>
    <n v="2775"/>
    <n v="2853"/>
    <n v="774876.175999998"/>
    <n v="4242578.5439999998"/>
    <n v="664328.06399999699"/>
    <n v="88944.128000000099"/>
    <n v="428768.63999999798"/>
    <n v="188698134"/>
  </r>
  <r>
    <s v="Waihou-Piako"/>
    <x v="9"/>
    <x v="7"/>
    <n v="1295524292"/>
    <n v="1110767501"/>
    <n v="424645560"/>
    <n v="4561"/>
    <n v="2861"/>
    <n v="4430"/>
    <n v="4264"/>
    <n v="10467"/>
    <n v="7376"/>
    <n v="10180"/>
    <n v="10467"/>
    <n v="0.43580000000000002"/>
    <n v="0.38790000000000002"/>
    <n v="0.43519999999999998"/>
    <n v="0.40739999999999998"/>
    <n v="287"/>
    <n v="7376"/>
    <n v="2952"/>
    <n v="2804"/>
    <n v="698896.14399999997"/>
    <n v="4034714.9119999902"/>
    <n v="600113.75999999803"/>
    <n v="82902.272000000405"/>
    <n v="389852.08000000101"/>
    <n v="184756791"/>
  </r>
  <r>
    <s v="Waihou-Piako"/>
    <x v="9"/>
    <x v="8"/>
    <n v="1287307206"/>
    <n v="1103640002"/>
    <n v="424001982"/>
    <n v="4828"/>
    <n v="3038"/>
    <n v="4696"/>
    <n v="4489"/>
    <n v="10282"/>
    <n v="7210"/>
    <n v="9984"/>
    <n v="10282"/>
    <n v="0.46960000000000002"/>
    <n v="0.4214"/>
    <n v="0.47039999999999998"/>
    <n v="0.43659999999999999"/>
    <n v="298"/>
    <n v="7210"/>
    <n v="3137"/>
    <n v="2774"/>
    <n v="629958.04799999995"/>
    <n v="3853656.4640000002"/>
    <n v="549234.86399999994"/>
    <n v="77762.9120000002"/>
    <n v="355075.05599999998"/>
    <n v="183667204"/>
  </r>
  <r>
    <s v="Waihou-Piako"/>
    <x v="9"/>
    <x v="9"/>
    <n v="1274725603"/>
    <n v="1095691544"/>
    <n v="438524165"/>
    <n v="5150"/>
    <n v="3165"/>
    <n v="4942"/>
    <n v="4719"/>
    <n v="10104"/>
    <n v="7015"/>
    <n v="9802"/>
    <n v="10104"/>
    <n v="0.50970000000000004"/>
    <n v="0.45119999999999999"/>
    <n v="0.50419999999999998"/>
    <n v="0.46700000000000003"/>
    <n v="302"/>
    <n v="7015"/>
    <n v="3315"/>
    <n v="2787"/>
    <n v="557103.13599999901"/>
    <n v="3689110.9280000101"/>
    <n v="516931.48799999797"/>
    <n v="73553.631999999794"/>
    <n v="329391.37599999999"/>
    <n v="179034059"/>
  </r>
  <r>
    <s v="Waihou-Piako"/>
    <x v="9"/>
    <x v="10"/>
    <n v="1259425812"/>
    <n v="1083590346"/>
    <n v="428972213"/>
    <n v="5341"/>
    <n v="3338"/>
    <n v="5188"/>
    <n v="4914"/>
    <n v="9897"/>
    <n v="6836"/>
    <n v="9576"/>
    <n v="9897"/>
    <n v="0.53969999999999996"/>
    <n v="0.48830000000000001"/>
    <n v="0.54179999999999995"/>
    <n v="0.4965"/>
    <n v="321"/>
    <n v="6836"/>
    <n v="3522"/>
    <n v="2740"/>
    <n v="485150.16000000102"/>
    <n v="3515430.608"/>
    <n v="491848.54399999802"/>
    <n v="69280.719999999899"/>
    <n v="302988.35199999902"/>
    <n v="175835466"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092EE-7D9A-4DEE-BAD0-D4838CEE8DE0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3:L15" firstHeaderRow="1" firstDataRow="2" firstDataCol="1"/>
  <pivotFields count="28">
    <pivotField showAll="0"/>
    <pivotField axis="axisCol" showAll="0">
      <items count="13">
        <item h="1" x="11"/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1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env_metrics_ghg_emissions" fld="22" baseField="0" baseItem="0"/>
  </dataFields>
  <formats count="1">
    <format dxfId="32">
      <pivotArea outline="0" collapsedLevelsAreSubtotals="1" fieldPosition="0"/>
    </format>
  </formats>
  <chartFormats count="10">
    <chartFormat chart="0" format="29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9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29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298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299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300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301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302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303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304" series="1">
      <pivotArea type="data" outline="0" fieldPosition="0">
        <references count="1"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5A13-E29A-4E59-AC49-DBCD3DD6186D}">
  <dimension ref="A1:O22"/>
  <sheetViews>
    <sheetView workbookViewId="0">
      <selection activeCell="A2" sqref="A2:XFD2"/>
    </sheetView>
  </sheetViews>
  <sheetFormatPr defaultRowHeight="15" x14ac:dyDescent="0.25"/>
  <cols>
    <col min="1" max="1" width="30" customWidth="1"/>
    <col min="2" max="11" width="20.7109375" customWidth="1"/>
    <col min="12" max="18" width="11" customWidth="1"/>
  </cols>
  <sheetData>
    <row r="1" spans="1:15" x14ac:dyDescent="0.25">
      <c r="A1" t="s">
        <v>79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25">
      <c r="A2" t="s">
        <v>80</v>
      </c>
      <c r="B2" t="str">
        <f>B6</f>
        <v>default</v>
      </c>
      <c r="C2" t="str">
        <f t="shared" ref="C2:K2" si="0">C6</f>
        <v>no-landuse-change</v>
      </c>
      <c r="D2" t="str">
        <f t="shared" si="0"/>
        <v>low-uptake</v>
      </c>
      <c r="E2" t="str">
        <f t="shared" si="0"/>
        <v>low-tech-change</v>
      </c>
      <c r="F2" t="str">
        <f t="shared" si="0"/>
        <v>farm-plan-only</v>
      </c>
      <c r="G2" t="str">
        <f t="shared" si="0"/>
        <v>all-profit-farmers</v>
      </c>
      <c r="H2" t="str">
        <f t="shared" si="0"/>
        <v>all-enviro-farmers</v>
      </c>
      <c r="I2" t="str">
        <f t="shared" si="0"/>
        <v>high-tech-change</v>
      </c>
      <c r="J2" t="str">
        <f t="shared" si="0"/>
        <v>low-init-intervention</v>
      </c>
      <c r="K2" t="str">
        <f t="shared" si="0"/>
        <v>high-debt</v>
      </c>
      <c r="L2" t="s">
        <v>81</v>
      </c>
      <c r="M2" t="s">
        <v>81</v>
      </c>
      <c r="N2" t="s">
        <v>81</v>
      </c>
      <c r="O2" t="s">
        <v>81</v>
      </c>
    </row>
    <row r="3" spans="1:15" x14ac:dyDescent="0.25">
      <c r="A3" t="s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5" x14ac:dyDescent="0.2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5" x14ac:dyDescent="0.25">
      <c r="A5" t="s">
        <v>2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55</v>
      </c>
    </row>
    <row r="6" spans="1:15" x14ac:dyDescent="0.25">
      <c r="A6" t="s">
        <v>3</v>
      </c>
      <c r="B6" s="6" t="s">
        <v>7</v>
      </c>
      <c r="C6" s="13" t="s">
        <v>56</v>
      </c>
      <c r="D6" s="13" t="s">
        <v>66</v>
      </c>
      <c r="E6" s="13" t="s">
        <v>67</v>
      </c>
      <c r="F6" s="13" t="s">
        <v>68</v>
      </c>
      <c r="G6" s="13" t="s">
        <v>69</v>
      </c>
      <c r="H6" s="13" t="s">
        <v>70</v>
      </c>
      <c r="I6" s="13" t="s">
        <v>72</v>
      </c>
      <c r="J6" s="13" t="s">
        <v>74</v>
      </c>
      <c r="K6" s="13" t="s">
        <v>75</v>
      </c>
    </row>
    <row r="7" spans="1:15" x14ac:dyDescent="0.25">
      <c r="A7" t="s">
        <v>4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</row>
    <row r="8" spans="1:15" x14ac:dyDescent="0.25">
      <c r="A8" t="s">
        <v>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 spans="1:15" x14ac:dyDescent="0.25">
      <c r="A9" t="s">
        <v>6</v>
      </c>
      <c r="B9" t="s">
        <v>7</v>
      </c>
      <c r="C9" t="s">
        <v>56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72</v>
      </c>
      <c r="J9" t="s">
        <v>74</v>
      </c>
      <c r="K9" t="s">
        <v>75</v>
      </c>
    </row>
    <row r="10" spans="1:15" x14ac:dyDescent="0.25">
      <c r="A10" t="s">
        <v>8</v>
      </c>
      <c r="B10" t="s">
        <v>77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</row>
    <row r="11" spans="1:15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5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5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5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5" x14ac:dyDescent="0.25">
      <c r="A15" t="s">
        <v>13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 spans="1:15" x14ac:dyDescent="0.25">
      <c r="A16" t="s">
        <v>14</v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</row>
    <row r="17" spans="1:11" x14ac:dyDescent="0.25">
      <c r="A17" t="s">
        <v>15</v>
      </c>
      <c r="B17">
        <v>6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</row>
    <row r="18" spans="1:11" x14ac:dyDescent="0.25">
      <c r="A18" t="s">
        <v>16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 s="13">
        <v>10</v>
      </c>
    </row>
    <row r="19" spans="1:11" x14ac:dyDescent="0.25">
      <c r="A19" t="s">
        <v>17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  <c r="I19">
        <v>20</v>
      </c>
      <c r="J19">
        <v>20</v>
      </c>
      <c r="K19">
        <v>20</v>
      </c>
    </row>
    <row r="20" spans="1:11" x14ac:dyDescent="0.25">
      <c r="A20" t="s">
        <v>57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x14ac:dyDescent="0.25">
      <c r="A21" t="s">
        <v>18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</row>
    <row r="22" spans="1:11" x14ac:dyDescent="0.25">
      <c r="A22" t="s">
        <v>19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BECB-258F-40D4-9383-610E0B4957F2}">
  <dimension ref="A1:AB155"/>
  <sheetViews>
    <sheetView workbookViewId="0">
      <pane ySplit="1" topLeftCell="A2" activePane="bottomLeft" state="frozen"/>
      <selection pane="bottomLeft" activeCell="B1" sqref="A1:B1048576"/>
    </sheetView>
  </sheetViews>
  <sheetFormatPr defaultRowHeight="15" x14ac:dyDescent="0.25"/>
  <cols>
    <col min="1" max="1" width="13.7109375" bestFit="1" customWidth="1"/>
    <col min="2" max="2" width="19.140625" bestFit="1" customWidth="1"/>
    <col min="3" max="3" width="10.140625" customWidth="1"/>
    <col min="4" max="6" width="13.85546875" customWidth="1"/>
    <col min="7" max="19" width="10.140625" customWidth="1"/>
    <col min="28" max="28" width="13.85546875" customWidth="1"/>
  </cols>
  <sheetData>
    <row r="1" spans="1:28" s="1" customFormat="1" ht="66.75" customHeight="1" x14ac:dyDescent="0.25">
      <c r="A1" s="2" t="s">
        <v>78</v>
      </c>
      <c r="B1" s="2" t="s">
        <v>51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73</v>
      </c>
    </row>
    <row r="2" spans="1:28" x14ac:dyDescent="0.25">
      <c r="A2" t="str">
        <f>Scenario!B10</f>
        <v>Waihou-Piako</v>
      </c>
      <c r="B2" t="str">
        <f>Scenario!B2</f>
        <v>default</v>
      </c>
      <c r="C2">
        <v>0</v>
      </c>
      <c r="D2" s="11">
        <v>1414664765</v>
      </c>
      <c r="E2" s="11">
        <v>1196543938</v>
      </c>
      <c r="F2" s="11">
        <v>413244508</v>
      </c>
      <c r="G2" s="7">
        <v>1332</v>
      </c>
      <c r="H2" s="7">
        <v>840</v>
      </c>
      <c r="I2" s="7">
        <v>1219</v>
      </c>
      <c r="J2" s="7">
        <v>1267</v>
      </c>
      <c r="K2" s="7">
        <v>12351</v>
      </c>
      <c r="L2" s="7">
        <v>9078</v>
      </c>
      <c r="M2" s="7">
        <v>12167</v>
      </c>
      <c r="N2" s="7">
        <v>12351</v>
      </c>
      <c r="O2" s="9">
        <v>0.10780000000000001</v>
      </c>
      <c r="P2" s="9">
        <v>9.2499999999999999E-2</v>
      </c>
      <c r="Q2" s="9">
        <v>0.1002</v>
      </c>
      <c r="R2" s="9">
        <v>0.1026</v>
      </c>
      <c r="S2" s="7">
        <v>184</v>
      </c>
      <c r="T2" s="7">
        <v>9078</v>
      </c>
      <c r="U2" s="7">
        <v>1068</v>
      </c>
      <c r="V2" s="7">
        <v>3089</v>
      </c>
      <c r="W2" s="7">
        <v>1379504.32</v>
      </c>
      <c r="X2" s="7">
        <v>5738137.5199999996</v>
      </c>
      <c r="Y2" s="7">
        <v>1133321.15199999</v>
      </c>
      <c r="Z2" s="7">
        <v>133573.856</v>
      </c>
      <c r="AA2" s="7">
        <v>724425.82399999897</v>
      </c>
      <c r="AB2" s="11">
        <f>D2-E2</f>
        <v>218120827</v>
      </c>
    </row>
    <row r="3" spans="1:28" x14ac:dyDescent="0.25">
      <c r="A3" t="str">
        <f>A2</f>
        <v>Waihou-Piako</v>
      </c>
      <c r="B3" t="str">
        <f>B2</f>
        <v>default</v>
      </c>
      <c r="C3">
        <v>1</v>
      </c>
      <c r="D3" s="11">
        <v>1414355374</v>
      </c>
      <c r="E3" s="11">
        <v>1195580426</v>
      </c>
      <c r="F3" s="11">
        <v>539290032</v>
      </c>
      <c r="G3" s="7">
        <v>1857</v>
      </c>
      <c r="H3" s="7">
        <v>1299</v>
      </c>
      <c r="I3" s="7">
        <v>1744</v>
      </c>
      <c r="J3" s="7">
        <v>1805</v>
      </c>
      <c r="K3" s="7">
        <v>11986</v>
      </c>
      <c r="L3" s="7">
        <v>8732</v>
      </c>
      <c r="M3" s="7">
        <v>11780</v>
      </c>
      <c r="N3" s="7">
        <v>11986</v>
      </c>
      <c r="O3" s="9">
        <v>0.15490000000000001</v>
      </c>
      <c r="P3" s="9">
        <v>0.14879999999999999</v>
      </c>
      <c r="Q3" s="9">
        <v>0.14799999999999999</v>
      </c>
      <c r="R3" s="9">
        <v>0.15060000000000001</v>
      </c>
      <c r="S3" s="7">
        <v>206</v>
      </c>
      <c r="T3" s="7">
        <v>8732</v>
      </c>
      <c r="U3" s="7">
        <v>1433</v>
      </c>
      <c r="V3" s="7">
        <v>3048</v>
      </c>
      <c r="W3" s="7">
        <v>1379442.72</v>
      </c>
      <c r="X3" s="7">
        <v>5738698.1279999996</v>
      </c>
      <c r="Y3" s="7">
        <v>1133888.912</v>
      </c>
      <c r="Z3" s="7">
        <v>133519.21599999999</v>
      </c>
      <c r="AA3" s="7">
        <v>724125.34400000004</v>
      </c>
      <c r="AB3" s="11">
        <f t="shared" ref="AB3:AB66" si="0">D3-E3</f>
        <v>218774948</v>
      </c>
    </row>
    <row r="4" spans="1:28" x14ac:dyDescent="0.25">
      <c r="A4" t="str">
        <f t="shared" ref="A4:B67" si="1">A3</f>
        <v>Waihou-Piako</v>
      </c>
      <c r="B4" t="str">
        <f t="shared" ref="B4:B12" si="2">B3</f>
        <v>default</v>
      </c>
      <c r="C4">
        <v>2</v>
      </c>
      <c r="D4" s="11">
        <v>1388621652</v>
      </c>
      <c r="E4" s="11">
        <v>1176412327</v>
      </c>
      <c r="F4" s="11">
        <v>516275058</v>
      </c>
      <c r="G4" s="7">
        <v>2300</v>
      </c>
      <c r="H4" s="7">
        <v>1619</v>
      </c>
      <c r="I4" s="7">
        <v>2265</v>
      </c>
      <c r="J4" s="7">
        <v>2329</v>
      </c>
      <c r="K4" s="7">
        <v>11701</v>
      </c>
      <c r="L4" s="7">
        <v>8480</v>
      </c>
      <c r="M4" s="7">
        <v>11448</v>
      </c>
      <c r="N4" s="7">
        <v>11701</v>
      </c>
      <c r="O4" s="9">
        <v>0.1966</v>
      </c>
      <c r="P4" s="9">
        <v>0.19089999999999999</v>
      </c>
      <c r="Q4" s="9">
        <v>0.19789999999999999</v>
      </c>
      <c r="R4" s="9">
        <v>0.19900000000000001</v>
      </c>
      <c r="S4" s="7">
        <v>253</v>
      </c>
      <c r="T4" s="7">
        <v>8480</v>
      </c>
      <c r="U4" s="7">
        <v>1718</v>
      </c>
      <c r="V4" s="7">
        <v>2968</v>
      </c>
      <c r="W4" s="7">
        <v>1232595.2479999999</v>
      </c>
      <c r="X4" s="7">
        <v>5371382.6880000103</v>
      </c>
      <c r="Y4" s="7">
        <v>1021632.72</v>
      </c>
      <c r="Z4" s="7">
        <v>122403.34399999899</v>
      </c>
      <c r="AA4" s="7">
        <v>646410.76800000004</v>
      </c>
      <c r="AB4" s="11">
        <f t="shared" si="0"/>
        <v>212209325</v>
      </c>
    </row>
    <row r="5" spans="1:28" x14ac:dyDescent="0.25">
      <c r="A5" t="str">
        <f t="shared" si="1"/>
        <v>Waihou-Piako</v>
      </c>
      <c r="B5" t="str">
        <f t="shared" si="2"/>
        <v>default</v>
      </c>
      <c r="C5">
        <v>3</v>
      </c>
      <c r="D5" s="11">
        <v>1371598906</v>
      </c>
      <c r="E5" s="11">
        <v>1165610145</v>
      </c>
      <c r="F5" s="11">
        <v>435703211</v>
      </c>
      <c r="G5" s="7">
        <v>2792</v>
      </c>
      <c r="H5" s="7">
        <v>2053</v>
      </c>
      <c r="I5" s="7">
        <v>2849</v>
      </c>
      <c r="J5" s="7">
        <v>2805</v>
      </c>
      <c r="K5" s="7">
        <v>11456</v>
      </c>
      <c r="L5" s="7">
        <v>8237</v>
      </c>
      <c r="M5" s="7">
        <v>11171</v>
      </c>
      <c r="N5" s="7">
        <v>11456</v>
      </c>
      <c r="O5" s="9">
        <v>0.2437</v>
      </c>
      <c r="P5" s="9">
        <v>0.2492</v>
      </c>
      <c r="Q5" s="9">
        <v>0.255</v>
      </c>
      <c r="R5" s="9">
        <v>0.24479999999999999</v>
      </c>
      <c r="S5" s="7">
        <v>285</v>
      </c>
      <c r="T5" s="7">
        <v>8237</v>
      </c>
      <c r="U5" s="7">
        <v>1963</v>
      </c>
      <c r="V5" s="7">
        <v>2934</v>
      </c>
      <c r="W5" s="7">
        <v>1122346.06399999</v>
      </c>
      <c r="X5" s="7">
        <v>5077642.7680000002</v>
      </c>
      <c r="Y5" s="7">
        <v>910980.57599999697</v>
      </c>
      <c r="Z5" s="7">
        <v>113206.303999999</v>
      </c>
      <c r="AA5" s="7">
        <v>584418.83199999796</v>
      </c>
      <c r="AB5" s="11">
        <f t="shared" si="0"/>
        <v>205988761</v>
      </c>
    </row>
    <row r="6" spans="1:28" x14ac:dyDescent="0.25">
      <c r="A6" t="str">
        <f t="shared" si="1"/>
        <v>Waihou-Piako</v>
      </c>
      <c r="B6" t="str">
        <f t="shared" si="2"/>
        <v>default</v>
      </c>
      <c r="C6">
        <v>4</v>
      </c>
      <c r="D6" s="11">
        <v>1352155262</v>
      </c>
      <c r="E6" s="11">
        <v>1151264464</v>
      </c>
      <c r="F6" s="11">
        <v>392852800</v>
      </c>
      <c r="G6" s="7">
        <v>3180</v>
      </c>
      <c r="H6" s="7">
        <v>2387</v>
      </c>
      <c r="I6" s="7">
        <v>3408</v>
      </c>
      <c r="J6" s="7">
        <v>3261</v>
      </c>
      <c r="K6" s="7">
        <v>11270</v>
      </c>
      <c r="L6" s="7">
        <v>8086</v>
      </c>
      <c r="M6" s="7">
        <v>10974</v>
      </c>
      <c r="N6" s="7">
        <v>11270</v>
      </c>
      <c r="O6" s="9">
        <v>0.28220000000000001</v>
      </c>
      <c r="P6" s="9">
        <v>0.29520000000000002</v>
      </c>
      <c r="Q6" s="9">
        <v>0.31059999999999999</v>
      </c>
      <c r="R6" s="9">
        <v>0.28939999999999999</v>
      </c>
      <c r="S6" s="7">
        <v>296</v>
      </c>
      <c r="T6" s="7">
        <v>8086</v>
      </c>
      <c r="U6" s="7">
        <v>2149</v>
      </c>
      <c r="V6" s="7">
        <v>2888</v>
      </c>
      <c r="W6" s="7">
        <v>1019124.09599999</v>
      </c>
      <c r="X6" s="7">
        <v>4778034.432</v>
      </c>
      <c r="Y6" s="7">
        <v>813920.60799999896</v>
      </c>
      <c r="Z6" s="7">
        <v>103720.031999999</v>
      </c>
      <c r="AA6" s="7">
        <v>522956.67200000002</v>
      </c>
      <c r="AB6" s="11">
        <f t="shared" si="0"/>
        <v>200890798</v>
      </c>
    </row>
    <row r="7" spans="1:28" x14ac:dyDescent="0.25">
      <c r="A7" t="str">
        <f t="shared" si="1"/>
        <v>Waihou-Piako</v>
      </c>
      <c r="B7" t="str">
        <f t="shared" si="2"/>
        <v>default</v>
      </c>
      <c r="C7">
        <v>5</v>
      </c>
      <c r="D7" s="11">
        <v>1342620321</v>
      </c>
      <c r="E7" s="11">
        <v>1144498439</v>
      </c>
      <c r="F7" s="11">
        <v>374964916</v>
      </c>
      <c r="G7" s="7">
        <v>3687</v>
      </c>
      <c r="H7" s="7">
        <v>2702</v>
      </c>
      <c r="I7" s="7">
        <v>3931</v>
      </c>
      <c r="J7" s="7">
        <v>3753</v>
      </c>
      <c r="K7" s="7">
        <v>11133</v>
      </c>
      <c r="L7" s="7">
        <v>7954</v>
      </c>
      <c r="M7" s="7">
        <v>10839</v>
      </c>
      <c r="N7" s="7">
        <v>11133</v>
      </c>
      <c r="O7" s="9">
        <v>0.33119999999999999</v>
      </c>
      <c r="P7" s="9">
        <v>0.3397</v>
      </c>
      <c r="Q7" s="9">
        <v>0.36270000000000002</v>
      </c>
      <c r="R7" s="9">
        <v>0.33710000000000001</v>
      </c>
      <c r="S7" s="7">
        <v>294</v>
      </c>
      <c r="T7" s="7">
        <v>7954</v>
      </c>
      <c r="U7" s="7">
        <v>2286</v>
      </c>
      <c r="V7" s="7">
        <v>2885</v>
      </c>
      <c r="W7" s="7">
        <v>943355.43999999797</v>
      </c>
      <c r="X7" s="7">
        <v>4547126.5439999904</v>
      </c>
      <c r="Y7" s="7">
        <v>738094.83199999796</v>
      </c>
      <c r="Z7" s="7">
        <v>96836.399999999805</v>
      </c>
      <c r="AA7" s="7">
        <v>477983.456000001</v>
      </c>
      <c r="AB7" s="11">
        <f t="shared" si="0"/>
        <v>198121882</v>
      </c>
    </row>
    <row r="8" spans="1:28" x14ac:dyDescent="0.25">
      <c r="A8" t="str">
        <f t="shared" si="1"/>
        <v>Waihou-Piako</v>
      </c>
      <c r="B8" t="str">
        <f t="shared" si="2"/>
        <v>default</v>
      </c>
      <c r="C8">
        <v>6</v>
      </c>
      <c r="D8" s="11">
        <v>1329591747</v>
      </c>
      <c r="E8" s="11">
        <v>1137944185</v>
      </c>
      <c r="F8" s="11">
        <v>364740154</v>
      </c>
      <c r="G8" s="7">
        <v>4198</v>
      </c>
      <c r="H8" s="7">
        <v>2986</v>
      </c>
      <c r="I8" s="7">
        <v>4305</v>
      </c>
      <c r="J8" s="7">
        <v>4189</v>
      </c>
      <c r="K8" s="7">
        <v>10951</v>
      </c>
      <c r="L8" s="7">
        <v>7778</v>
      </c>
      <c r="M8" s="7">
        <v>10649</v>
      </c>
      <c r="N8" s="7">
        <v>10951</v>
      </c>
      <c r="O8" s="9">
        <v>0.38329999999999997</v>
      </c>
      <c r="P8" s="9">
        <v>0.38390000000000002</v>
      </c>
      <c r="Q8" s="9">
        <v>0.40429999999999999</v>
      </c>
      <c r="R8" s="9">
        <v>0.38250000000000001</v>
      </c>
      <c r="S8" s="7">
        <v>302</v>
      </c>
      <c r="T8" s="7">
        <v>7778</v>
      </c>
      <c r="U8" s="7">
        <v>2468</v>
      </c>
      <c r="V8" s="7">
        <v>2871</v>
      </c>
      <c r="W8" s="7">
        <v>887153.85599999805</v>
      </c>
      <c r="X8" s="7">
        <v>4308107.8079999899</v>
      </c>
      <c r="Y8" s="7">
        <v>665648.97599999898</v>
      </c>
      <c r="Z8" s="7">
        <v>89467.808000000106</v>
      </c>
      <c r="AA8" s="7">
        <v>433742.44799999997</v>
      </c>
      <c r="AB8" s="11">
        <f t="shared" si="0"/>
        <v>191647562</v>
      </c>
    </row>
    <row r="9" spans="1:28" x14ac:dyDescent="0.25">
      <c r="A9" t="str">
        <f t="shared" si="1"/>
        <v>Waihou-Piako</v>
      </c>
      <c r="B9" t="str">
        <f t="shared" si="2"/>
        <v>default</v>
      </c>
      <c r="C9">
        <v>7</v>
      </c>
      <c r="D9" s="11">
        <v>1312680754</v>
      </c>
      <c r="E9" s="11">
        <v>1125545689</v>
      </c>
      <c r="F9" s="11">
        <v>370093649</v>
      </c>
      <c r="G9" s="7">
        <v>4512</v>
      </c>
      <c r="H9" s="7">
        <v>3305</v>
      </c>
      <c r="I9" s="7">
        <v>4675</v>
      </c>
      <c r="J9" s="7">
        <v>4482</v>
      </c>
      <c r="K9" s="7">
        <v>10795</v>
      </c>
      <c r="L9" s="7">
        <v>7632</v>
      </c>
      <c r="M9" s="7">
        <v>10491</v>
      </c>
      <c r="N9" s="7">
        <v>10795</v>
      </c>
      <c r="O9" s="9">
        <v>0.41799999999999998</v>
      </c>
      <c r="P9" s="9">
        <v>0.433</v>
      </c>
      <c r="Q9" s="9">
        <v>0.4456</v>
      </c>
      <c r="R9" s="9">
        <v>0.41520000000000001</v>
      </c>
      <c r="S9" s="7">
        <v>304</v>
      </c>
      <c r="T9" s="7">
        <v>7632</v>
      </c>
      <c r="U9" s="7">
        <v>2624</v>
      </c>
      <c r="V9" s="7">
        <v>2859</v>
      </c>
      <c r="W9" s="7">
        <v>805372.56</v>
      </c>
      <c r="X9" s="7">
        <v>4071737.1199999899</v>
      </c>
      <c r="Y9" s="7">
        <v>598523.82399999897</v>
      </c>
      <c r="Z9" s="7">
        <v>82686.496000000305</v>
      </c>
      <c r="AA9" s="7">
        <v>388602.86400000099</v>
      </c>
      <c r="AB9" s="11">
        <f t="shared" si="0"/>
        <v>187135065</v>
      </c>
    </row>
    <row r="10" spans="1:28" x14ac:dyDescent="0.25">
      <c r="A10" t="str">
        <f t="shared" si="1"/>
        <v>Waihou-Piako</v>
      </c>
      <c r="B10" t="str">
        <f t="shared" si="2"/>
        <v>default</v>
      </c>
      <c r="C10">
        <v>8</v>
      </c>
      <c r="D10" s="11">
        <v>1302238124</v>
      </c>
      <c r="E10" s="11">
        <v>1117826234</v>
      </c>
      <c r="F10" s="11">
        <v>366746915</v>
      </c>
      <c r="G10" s="7">
        <v>4921</v>
      </c>
      <c r="H10" s="7">
        <v>3577</v>
      </c>
      <c r="I10" s="7">
        <v>4989</v>
      </c>
      <c r="J10" s="7">
        <v>4866</v>
      </c>
      <c r="K10" s="7">
        <v>10660</v>
      </c>
      <c r="L10" s="7">
        <v>7524</v>
      </c>
      <c r="M10" s="7">
        <v>10363</v>
      </c>
      <c r="N10" s="7">
        <v>10660</v>
      </c>
      <c r="O10" s="9">
        <v>0.46160000000000001</v>
      </c>
      <c r="P10" s="9">
        <v>0.47539999999999999</v>
      </c>
      <c r="Q10" s="9">
        <v>0.48139999999999999</v>
      </c>
      <c r="R10" s="9">
        <v>0.45650000000000002</v>
      </c>
      <c r="S10" s="7">
        <v>297</v>
      </c>
      <c r="T10" s="7">
        <v>7524</v>
      </c>
      <c r="U10" s="7">
        <v>2759</v>
      </c>
      <c r="V10" s="7">
        <v>2839</v>
      </c>
      <c r="W10" s="7">
        <v>745304.75200000103</v>
      </c>
      <c r="X10" s="7">
        <v>3912447.68</v>
      </c>
      <c r="Y10" s="7">
        <v>552595.88800000097</v>
      </c>
      <c r="Z10" s="7">
        <v>78092.784</v>
      </c>
      <c r="AA10" s="7">
        <v>357283.071999999</v>
      </c>
      <c r="AB10" s="11">
        <f t="shared" si="0"/>
        <v>184411890</v>
      </c>
    </row>
    <row r="11" spans="1:28" x14ac:dyDescent="0.25">
      <c r="A11" t="str">
        <f t="shared" si="1"/>
        <v>Waihou-Piako</v>
      </c>
      <c r="B11" t="str">
        <f t="shared" si="2"/>
        <v>default</v>
      </c>
      <c r="C11">
        <v>9</v>
      </c>
      <c r="D11" s="11">
        <v>1292494805</v>
      </c>
      <c r="E11" s="11">
        <v>1111216713</v>
      </c>
      <c r="F11" s="11">
        <v>364069497</v>
      </c>
      <c r="G11" s="7">
        <v>5218</v>
      </c>
      <c r="H11" s="7">
        <v>3818</v>
      </c>
      <c r="I11" s="7">
        <v>5326</v>
      </c>
      <c r="J11" s="7">
        <v>5075</v>
      </c>
      <c r="K11" s="7">
        <v>10494</v>
      </c>
      <c r="L11" s="7">
        <v>7381</v>
      </c>
      <c r="M11" s="7">
        <v>10189</v>
      </c>
      <c r="N11" s="7">
        <v>10494</v>
      </c>
      <c r="O11" s="9">
        <v>0.49719999999999998</v>
      </c>
      <c r="P11" s="9">
        <v>0.51729999999999998</v>
      </c>
      <c r="Q11" s="9">
        <v>0.52270000000000005</v>
      </c>
      <c r="R11" s="9">
        <v>0.48359999999999997</v>
      </c>
      <c r="S11" s="7">
        <v>305</v>
      </c>
      <c r="T11" s="7">
        <v>7381</v>
      </c>
      <c r="U11" s="7">
        <v>2925</v>
      </c>
      <c r="V11" s="7">
        <v>2808</v>
      </c>
      <c r="W11" s="7">
        <v>691212.048000001</v>
      </c>
      <c r="X11" s="7">
        <v>3726599.9680000101</v>
      </c>
      <c r="Y11" s="7">
        <v>514233.80800000002</v>
      </c>
      <c r="Z11" s="7">
        <v>73097.6320000001</v>
      </c>
      <c r="AA11" s="7">
        <v>326050.864</v>
      </c>
      <c r="AB11" s="11">
        <f t="shared" si="0"/>
        <v>181278092</v>
      </c>
    </row>
    <row r="12" spans="1:28" x14ac:dyDescent="0.25">
      <c r="A12" s="5" t="str">
        <f t="shared" si="1"/>
        <v>Waihou-Piako</v>
      </c>
      <c r="B12" s="5" t="str">
        <f t="shared" si="2"/>
        <v>default</v>
      </c>
      <c r="C12" s="5">
        <v>10</v>
      </c>
      <c r="D12" s="12">
        <v>1282157445</v>
      </c>
      <c r="E12" s="12">
        <v>1103811554</v>
      </c>
      <c r="F12" s="12">
        <v>357796201</v>
      </c>
      <c r="G12" s="8">
        <v>5519</v>
      </c>
      <c r="H12" s="8">
        <v>4043</v>
      </c>
      <c r="I12" s="8">
        <v>5685</v>
      </c>
      <c r="J12" s="8">
        <v>5327</v>
      </c>
      <c r="K12" s="8">
        <v>10354</v>
      </c>
      <c r="L12" s="8">
        <v>7285</v>
      </c>
      <c r="M12" s="8">
        <v>10040</v>
      </c>
      <c r="N12" s="8">
        <v>10354</v>
      </c>
      <c r="O12" s="10">
        <v>0.53300000000000003</v>
      </c>
      <c r="P12" s="10">
        <v>0.55500000000000005</v>
      </c>
      <c r="Q12" s="10">
        <v>0.56620000000000004</v>
      </c>
      <c r="R12" s="10">
        <v>0.51449999999999996</v>
      </c>
      <c r="S12" s="8">
        <v>314</v>
      </c>
      <c r="T12" s="8">
        <v>7285</v>
      </c>
      <c r="U12" s="8">
        <v>3065</v>
      </c>
      <c r="V12" s="8">
        <v>2755</v>
      </c>
      <c r="W12" s="8">
        <v>625571.47199999797</v>
      </c>
      <c r="X12" s="8">
        <v>3580957.0559999901</v>
      </c>
      <c r="Y12" s="8">
        <v>483296.12800000003</v>
      </c>
      <c r="Z12" s="8">
        <v>69351.536000000197</v>
      </c>
      <c r="AA12" s="8">
        <v>303426.55999999901</v>
      </c>
      <c r="AB12" s="12">
        <f t="shared" si="0"/>
        <v>178345891</v>
      </c>
    </row>
    <row r="13" spans="1:28" x14ac:dyDescent="0.25">
      <c r="A13" t="str">
        <f t="shared" si="1"/>
        <v>Waihou-Piako</v>
      </c>
      <c r="B13" t="str">
        <f>Scenario!C2</f>
        <v>no-landuse-change</v>
      </c>
      <c r="C13">
        <v>0</v>
      </c>
      <c r="D13" s="11">
        <v>1414664765</v>
      </c>
      <c r="E13" s="11">
        <v>1196543938</v>
      </c>
      <c r="F13" s="11">
        <v>413244508</v>
      </c>
      <c r="G13" s="7">
        <v>1332</v>
      </c>
      <c r="H13" s="7">
        <v>840</v>
      </c>
      <c r="I13" s="7">
        <v>1219</v>
      </c>
      <c r="J13" s="7">
        <v>1267</v>
      </c>
      <c r="K13" s="7">
        <v>12351</v>
      </c>
      <c r="L13" s="7">
        <v>9078</v>
      </c>
      <c r="M13" s="7">
        <v>12167</v>
      </c>
      <c r="N13" s="7">
        <v>12351</v>
      </c>
      <c r="O13" s="9">
        <v>0.10780000000000001</v>
      </c>
      <c r="P13" s="9">
        <v>9.2499999999999999E-2</v>
      </c>
      <c r="Q13" s="9">
        <v>0.1002</v>
      </c>
      <c r="R13" s="9">
        <v>0.1026</v>
      </c>
      <c r="S13" s="7">
        <v>184</v>
      </c>
      <c r="T13" s="7">
        <v>9078</v>
      </c>
      <c r="U13" s="7">
        <v>1068</v>
      </c>
      <c r="V13" s="7">
        <v>3089</v>
      </c>
      <c r="W13" s="7">
        <v>1379504.32</v>
      </c>
      <c r="X13" s="7">
        <v>5738137.5199999996</v>
      </c>
      <c r="Y13" s="7">
        <v>1133321.15199999</v>
      </c>
      <c r="Z13" s="7">
        <v>133573.856</v>
      </c>
      <c r="AA13" s="7">
        <v>724425.82399999897</v>
      </c>
      <c r="AB13" s="11">
        <f t="shared" si="0"/>
        <v>218120827</v>
      </c>
    </row>
    <row r="14" spans="1:28" x14ac:dyDescent="0.25">
      <c r="A14" t="str">
        <f t="shared" si="1"/>
        <v>Waihou-Piako</v>
      </c>
      <c r="B14" t="str">
        <f>B13</f>
        <v>no-landuse-change</v>
      </c>
      <c r="C14">
        <v>1</v>
      </c>
      <c r="D14" s="11">
        <v>1414355374</v>
      </c>
      <c r="E14" s="11">
        <v>1195580426</v>
      </c>
      <c r="F14" s="11">
        <v>536940147</v>
      </c>
      <c r="G14" s="7">
        <v>1941</v>
      </c>
      <c r="H14" s="7">
        <v>1172</v>
      </c>
      <c r="I14" s="7">
        <v>1923</v>
      </c>
      <c r="J14" s="7">
        <v>1854</v>
      </c>
      <c r="K14" s="7">
        <v>12351</v>
      </c>
      <c r="L14" s="7">
        <v>9078</v>
      </c>
      <c r="M14" s="7">
        <v>12167</v>
      </c>
      <c r="N14" s="7">
        <v>12351</v>
      </c>
      <c r="O14" s="9">
        <v>0.15720000000000001</v>
      </c>
      <c r="P14" s="9">
        <v>0.12909999999999999</v>
      </c>
      <c r="Q14" s="9">
        <v>0.15809999999999999</v>
      </c>
      <c r="R14" s="9">
        <v>0.15010000000000001</v>
      </c>
      <c r="S14" s="7">
        <v>184</v>
      </c>
      <c r="T14" s="7">
        <v>9078</v>
      </c>
      <c r="U14" s="7">
        <v>1068</v>
      </c>
      <c r="V14" s="7">
        <v>3089</v>
      </c>
      <c r="W14" s="7">
        <v>1379442.71999999</v>
      </c>
      <c r="X14" s="7">
        <v>5738698.1279999996</v>
      </c>
      <c r="Y14" s="7">
        <v>1133888.912</v>
      </c>
      <c r="Z14" s="7">
        <v>133519.21599999999</v>
      </c>
      <c r="AA14" s="7">
        <v>724125.34400000004</v>
      </c>
      <c r="AB14" s="11">
        <f t="shared" si="0"/>
        <v>218774948</v>
      </c>
    </row>
    <row r="15" spans="1:28" x14ac:dyDescent="0.25">
      <c r="A15" t="str">
        <f t="shared" si="1"/>
        <v>Waihou-Piako</v>
      </c>
      <c r="B15" t="str">
        <f t="shared" ref="B15:B23" si="3">B14</f>
        <v>no-landuse-change</v>
      </c>
      <c r="C15">
        <v>2</v>
      </c>
      <c r="D15" s="11">
        <v>1410369197</v>
      </c>
      <c r="E15" s="11">
        <v>1196314744</v>
      </c>
      <c r="F15" s="11">
        <v>517770605</v>
      </c>
      <c r="G15" s="7">
        <v>2566</v>
      </c>
      <c r="H15" s="7">
        <v>1593</v>
      </c>
      <c r="I15" s="7">
        <v>2516</v>
      </c>
      <c r="J15" s="7">
        <v>2499</v>
      </c>
      <c r="K15" s="7">
        <v>12351</v>
      </c>
      <c r="L15" s="7">
        <v>9078</v>
      </c>
      <c r="M15" s="7">
        <v>12167</v>
      </c>
      <c r="N15" s="7">
        <v>12351</v>
      </c>
      <c r="O15" s="9">
        <v>0.20780000000000001</v>
      </c>
      <c r="P15" s="9">
        <v>0.17549999999999999</v>
      </c>
      <c r="Q15" s="9">
        <v>0.20680000000000001</v>
      </c>
      <c r="R15" s="9">
        <v>0.20230000000000001</v>
      </c>
      <c r="S15" s="7">
        <v>184</v>
      </c>
      <c r="T15" s="7">
        <v>9078</v>
      </c>
      <c r="U15" s="7">
        <v>1068</v>
      </c>
      <c r="V15" s="7">
        <v>3089</v>
      </c>
      <c r="W15" s="7">
        <v>1367148.8319999899</v>
      </c>
      <c r="X15" s="7">
        <v>5561784.0480000097</v>
      </c>
      <c r="Y15" s="7">
        <v>1004919.12</v>
      </c>
      <c r="Z15" s="7">
        <v>125040.671999999</v>
      </c>
      <c r="AA15" s="7">
        <v>667592.255999999</v>
      </c>
      <c r="AB15" s="11">
        <f t="shared" si="0"/>
        <v>214054453</v>
      </c>
    </row>
    <row r="16" spans="1:28" x14ac:dyDescent="0.25">
      <c r="A16" t="str">
        <f t="shared" si="1"/>
        <v>Waihou-Piako</v>
      </c>
      <c r="B16" t="str">
        <f t="shared" si="3"/>
        <v>no-landuse-change</v>
      </c>
      <c r="C16">
        <v>3</v>
      </c>
      <c r="D16" s="11">
        <v>1406305686</v>
      </c>
      <c r="E16" s="11">
        <v>1196783663</v>
      </c>
      <c r="F16" s="11">
        <v>473057366</v>
      </c>
      <c r="G16" s="7">
        <v>3243</v>
      </c>
      <c r="H16" s="7">
        <v>2005</v>
      </c>
      <c r="I16" s="7">
        <v>3146</v>
      </c>
      <c r="J16" s="7">
        <v>3038</v>
      </c>
      <c r="K16" s="7">
        <v>12351</v>
      </c>
      <c r="L16" s="7">
        <v>9078</v>
      </c>
      <c r="M16" s="7">
        <v>12167</v>
      </c>
      <c r="N16" s="7">
        <v>12351</v>
      </c>
      <c r="O16" s="9">
        <v>0.2626</v>
      </c>
      <c r="P16" s="9">
        <v>0.22090000000000001</v>
      </c>
      <c r="Q16" s="9">
        <v>0.2586</v>
      </c>
      <c r="R16" s="9">
        <v>0.246</v>
      </c>
      <c r="S16" s="7">
        <v>184</v>
      </c>
      <c r="T16" s="7">
        <v>9078</v>
      </c>
      <c r="U16" s="7">
        <v>1068</v>
      </c>
      <c r="V16" s="7">
        <v>3089</v>
      </c>
      <c r="W16" s="7">
        <v>1354394.784</v>
      </c>
      <c r="X16" s="7">
        <v>5354652.3199999798</v>
      </c>
      <c r="Y16" s="7">
        <v>889758.255999999</v>
      </c>
      <c r="Z16" s="7">
        <v>116355.52</v>
      </c>
      <c r="AA16" s="7">
        <v>610442.78399999999</v>
      </c>
      <c r="AB16" s="11">
        <f t="shared" si="0"/>
        <v>209522023</v>
      </c>
    </row>
    <row r="17" spans="1:28" x14ac:dyDescent="0.25">
      <c r="A17" t="str">
        <f t="shared" si="1"/>
        <v>Waihou-Piako</v>
      </c>
      <c r="B17" t="str">
        <f t="shared" si="3"/>
        <v>no-landuse-change</v>
      </c>
      <c r="C17">
        <v>4</v>
      </c>
      <c r="D17" s="11">
        <v>1402000135</v>
      </c>
      <c r="E17" s="11">
        <v>1196623380</v>
      </c>
      <c r="F17" s="11">
        <v>438342584</v>
      </c>
      <c r="G17" s="7">
        <v>3826</v>
      </c>
      <c r="H17" s="7">
        <v>2400</v>
      </c>
      <c r="I17" s="7">
        <v>3764</v>
      </c>
      <c r="J17" s="7">
        <v>3604</v>
      </c>
      <c r="K17" s="7">
        <v>12351</v>
      </c>
      <c r="L17" s="7">
        <v>9078</v>
      </c>
      <c r="M17" s="7">
        <v>12167</v>
      </c>
      <c r="N17" s="7">
        <v>12351</v>
      </c>
      <c r="O17" s="9">
        <v>0.30980000000000002</v>
      </c>
      <c r="P17" s="9">
        <v>0.26440000000000002</v>
      </c>
      <c r="Q17" s="9">
        <v>0.30940000000000001</v>
      </c>
      <c r="R17" s="9">
        <v>0.2918</v>
      </c>
      <c r="S17" s="7">
        <v>184</v>
      </c>
      <c r="T17" s="7">
        <v>9078</v>
      </c>
      <c r="U17" s="7">
        <v>1068</v>
      </c>
      <c r="V17" s="7">
        <v>3089</v>
      </c>
      <c r="W17" s="7">
        <v>1341486.78399999</v>
      </c>
      <c r="X17" s="7">
        <v>5170557.6480000196</v>
      </c>
      <c r="Y17" s="7">
        <v>795226.8</v>
      </c>
      <c r="Z17" s="7">
        <v>108322.128</v>
      </c>
      <c r="AA17" s="7">
        <v>559349.36</v>
      </c>
      <c r="AB17" s="11">
        <f t="shared" si="0"/>
        <v>205376755</v>
      </c>
    </row>
    <row r="18" spans="1:28" x14ac:dyDescent="0.25">
      <c r="A18" t="str">
        <f t="shared" si="1"/>
        <v>Waihou-Piako</v>
      </c>
      <c r="B18" t="str">
        <f t="shared" si="3"/>
        <v>no-landuse-change</v>
      </c>
      <c r="C18">
        <v>5</v>
      </c>
      <c r="D18" s="11">
        <v>1400591435</v>
      </c>
      <c r="E18" s="11">
        <v>1197077131</v>
      </c>
      <c r="F18" s="11">
        <v>392532844</v>
      </c>
      <c r="G18" s="7">
        <v>4353</v>
      </c>
      <c r="H18" s="7">
        <v>2972</v>
      </c>
      <c r="I18" s="7">
        <v>4306</v>
      </c>
      <c r="J18" s="7">
        <v>4115</v>
      </c>
      <c r="K18" s="7">
        <v>12351</v>
      </c>
      <c r="L18" s="7">
        <v>9078</v>
      </c>
      <c r="M18" s="7">
        <v>12167</v>
      </c>
      <c r="N18" s="7">
        <v>12351</v>
      </c>
      <c r="O18" s="9">
        <v>0.35239999999999999</v>
      </c>
      <c r="P18" s="9">
        <v>0.32740000000000002</v>
      </c>
      <c r="Q18" s="9">
        <v>0.35389999999999999</v>
      </c>
      <c r="R18" s="9">
        <v>0.3332</v>
      </c>
      <c r="S18" s="7">
        <v>184</v>
      </c>
      <c r="T18" s="7">
        <v>9078</v>
      </c>
      <c r="U18" s="7">
        <v>1068</v>
      </c>
      <c r="V18" s="7">
        <v>3089</v>
      </c>
      <c r="W18" s="7">
        <v>1329725.28</v>
      </c>
      <c r="X18" s="7">
        <v>4989080.1279999902</v>
      </c>
      <c r="Y18" s="7">
        <v>705336.68799999799</v>
      </c>
      <c r="Z18" s="7">
        <v>101554.32</v>
      </c>
      <c r="AA18" s="7">
        <v>515503.16800000001</v>
      </c>
      <c r="AB18" s="11">
        <f t="shared" si="0"/>
        <v>203514304</v>
      </c>
    </row>
    <row r="19" spans="1:28" x14ac:dyDescent="0.25">
      <c r="A19" t="str">
        <f t="shared" si="1"/>
        <v>Waihou-Piako</v>
      </c>
      <c r="B19" t="str">
        <f t="shared" si="3"/>
        <v>no-landuse-change</v>
      </c>
      <c r="C19">
        <v>6</v>
      </c>
      <c r="D19" s="11">
        <v>1396089949</v>
      </c>
      <c r="E19" s="11">
        <v>1197739477</v>
      </c>
      <c r="F19" s="11">
        <v>403608080</v>
      </c>
      <c r="G19" s="7">
        <v>4950</v>
      </c>
      <c r="H19" s="7">
        <v>3326</v>
      </c>
      <c r="I19" s="7">
        <v>4867</v>
      </c>
      <c r="J19" s="7">
        <v>4604</v>
      </c>
      <c r="K19" s="7">
        <v>12351</v>
      </c>
      <c r="L19" s="7">
        <v>9078</v>
      </c>
      <c r="M19" s="7">
        <v>12167</v>
      </c>
      <c r="N19" s="7">
        <v>12351</v>
      </c>
      <c r="O19" s="9">
        <v>0.40079999999999999</v>
      </c>
      <c r="P19" s="9">
        <v>0.3664</v>
      </c>
      <c r="Q19" s="9">
        <v>0.4</v>
      </c>
      <c r="R19" s="9">
        <v>0.37280000000000002</v>
      </c>
      <c r="S19" s="7">
        <v>184</v>
      </c>
      <c r="T19" s="7">
        <v>9078</v>
      </c>
      <c r="U19" s="7">
        <v>1068</v>
      </c>
      <c r="V19" s="7">
        <v>3089</v>
      </c>
      <c r="W19" s="7">
        <v>1323381.8079999899</v>
      </c>
      <c r="X19" s="7">
        <v>4825034.8319999902</v>
      </c>
      <c r="Y19" s="7">
        <v>636046.19199999794</v>
      </c>
      <c r="Z19" s="7">
        <v>95088.543999999994</v>
      </c>
      <c r="AA19" s="7">
        <v>471360.8</v>
      </c>
      <c r="AB19" s="11">
        <f t="shared" si="0"/>
        <v>198350472</v>
      </c>
    </row>
    <row r="20" spans="1:28" x14ac:dyDescent="0.25">
      <c r="A20" t="str">
        <f t="shared" si="1"/>
        <v>Waihou-Piako</v>
      </c>
      <c r="B20" t="str">
        <f t="shared" si="3"/>
        <v>no-landuse-change</v>
      </c>
      <c r="C20">
        <v>7</v>
      </c>
      <c r="D20" s="11">
        <v>1393250787</v>
      </c>
      <c r="E20" s="11">
        <v>1197403841</v>
      </c>
      <c r="F20" s="11">
        <v>410049848</v>
      </c>
      <c r="G20" s="7">
        <v>5343</v>
      </c>
      <c r="H20" s="7">
        <v>3656</v>
      </c>
      <c r="I20" s="7">
        <v>5389</v>
      </c>
      <c r="J20" s="7">
        <v>5012</v>
      </c>
      <c r="K20" s="7">
        <v>12351</v>
      </c>
      <c r="L20" s="7">
        <v>9078</v>
      </c>
      <c r="M20" s="7">
        <v>12167</v>
      </c>
      <c r="N20" s="7">
        <v>12351</v>
      </c>
      <c r="O20" s="9">
        <v>0.43259999999999998</v>
      </c>
      <c r="P20" s="9">
        <v>0.4027</v>
      </c>
      <c r="Q20" s="9">
        <v>0.44290000000000002</v>
      </c>
      <c r="R20" s="9">
        <v>0.40579999999999999</v>
      </c>
      <c r="S20" s="7">
        <v>184</v>
      </c>
      <c r="T20" s="7">
        <v>9078</v>
      </c>
      <c r="U20" s="7">
        <v>1068</v>
      </c>
      <c r="V20" s="7">
        <v>3089</v>
      </c>
      <c r="W20" s="7">
        <v>1310079.2319999901</v>
      </c>
      <c r="X20" s="7">
        <v>4664597.8080000104</v>
      </c>
      <c r="Y20" s="7">
        <v>565463.59999999905</v>
      </c>
      <c r="Z20" s="7">
        <v>89001.135999999999</v>
      </c>
      <c r="AA20" s="7">
        <v>433904.81599999999</v>
      </c>
      <c r="AB20" s="11">
        <f t="shared" si="0"/>
        <v>195846946</v>
      </c>
    </row>
    <row r="21" spans="1:28" x14ac:dyDescent="0.25">
      <c r="A21" t="str">
        <f t="shared" si="1"/>
        <v>Waihou-Piako</v>
      </c>
      <c r="B21" t="str">
        <f t="shared" si="3"/>
        <v>no-landuse-change</v>
      </c>
      <c r="C21">
        <v>8</v>
      </c>
      <c r="D21" s="11">
        <v>1391423752</v>
      </c>
      <c r="E21" s="11">
        <v>1197494504</v>
      </c>
      <c r="F21" s="11">
        <v>379786464</v>
      </c>
      <c r="G21" s="7">
        <v>5849</v>
      </c>
      <c r="H21" s="7">
        <v>3973</v>
      </c>
      <c r="I21" s="7">
        <v>5965</v>
      </c>
      <c r="J21" s="7">
        <v>5448</v>
      </c>
      <c r="K21" s="7">
        <v>12351</v>
      </c>
      <c r="L21" s="7">
        <v>9078</v>
      </c>
      <c r="M21" s="7">
        <v>12167</v>
      </c>
      <c r="N21" s="7">
        <v>12351</v>
      </c>
      <c r="O21" s="9">
        <v>0.47360000000000002</v>
      </c>
      <c r="P21" s="9">
        <v>0.43769999999999998</v>
      </c>
      <c r="Q21" s="9">
        <v>0.49030000000000001</v>
      </c>
      <c r="R21" s="9">
        <v>0.44109999999999999</v>
      </c>
      <c r="S21" s="7">
        <v>184</v>
      </c>
      <c r="T21" s="7">
        <v>9078</v>
      </c>
      <c r="U21" s="7">
        <v>1068</v>
      </c>
      <c r="V21" s="7">
        <v>3089</v>
      </c>
      <c r="W21" s="7">
        <v>1302645.39199999</v>
      </c>
      <c r="X21" s="7">
        <v>4552542.9759999998</v>
      </c>
      <c r="Y21" s="7">
        <v>519727.40799999901</v>
      </c>
      <c r="Z21" s="7">
        <v>84647.1360000001</v>
      </c>
      <c r="AA21" s="7">
        <v>405919.51999999897</v>
      </c>
      <c r="AB21" s="11">
        <f t="shared" si="0"/>
        <v>193929248</v>
      </c>
    </row>
    <row r="22" spans="1:28" x14ac:dyDescent="0.25">
      <c r="A22" t="str">
        <f t="shared" si="1"/>
        <v>Waihou-Piako</v>
      </c>
      <c r="B22" t="str">
        <f t="shared" si="3"/>
        <v>no-landuse-change</v>
      </c>
      <c r="C22">
        <v>9</v>
      </c>
      <c r="D22" s="11">
        <v>1388112081</v>
      </c>
      <c r="E22" s="11">
        <v>1196856501</v>
      </c>
      <c r="F22" s="11">
        <v>375749440</v>
      </c>
      <c r="G22" s="7">
        <v>6180</v>
      </c>
      <c r="H22" s="7">
        <v>4316</v>
      </c>
      <c r="I22" s="7">
        <v>6674</v>
      </c>
      <c r="J22" s="7">
        <v>5916</v>
      </c>
      <c r="K22" s="7">
        <v>12351</v>
      </c>
      <c r="L22" s="7">
        <v>9078</v>
      </c>
      <c r="M22" s="7">
        <v>12167</v>
      </c>
      <c r="N22" s="7">
        <v>12351</v>
      </c>
      <c r="O22" s="9">
        <v>0.50039999999999996</v>
      </c>
      <c r="P22" s="9">
        <v>0.47539999999999999</v>
      </c>
      <c r="Q22" s="9">
        <v>0.54849999999999999</v>
      </c>
      <c r="R22" s="9">
        <v>0.47899999999999998</v>
      </c>
      <c r="S22" s="7">
        <v>184</v>
      </c>
      <c r="T22" s="7">
        <v>9078</v>
      </c>
      <c r="U22" s="7">
        <v>1068</v>
      </c>
      <c r="V22" s="7">
        <v>3089</v>
      </c>
      <c r="W22" s="7">
        <v>1292043.63199999</v>
      </c>
      <c r="X22" s="7">
        <v>4414408.8959999997</v>
      </c>
      <c r="Y22" s="7">
        <v>465896.51199999801</v>
      </c>
      <c r="Z22" s="7">
        <v>79699.103999999905</v>
      </c>
      <c r="AA22" s="7">
        <v>375574.76800000097</v>
      </c>
      <c r="AB22" s="11">
        <f t="shared" si="0"/>
        <v>191255580</v>
      </c>
    </row>
    <row r="23" spans="1:28" x14ac:dyDescent="0.25">
      <c r="A23" s="5" t="str">
        <f t="shared" si="1"/>
        <v>Waihou-Piako</v>
      </c>
      <c r="B23" s="5" t="str">
        <f t="shared" si="3"/>
        <v>no-landuse-change</v>
      </c>
      <c r="C23" s="5">
        <v>10</v>
      </c>
      <c r="D23" s="12">
        <v>1385439615</v>
      </c>
      <c r="E23" s="12">
        <v>1196595248</v>
      </c>
      <c r="F23" s="12">
        <v>408307573</v>
      </c>
      <c r="G23" s="8">
        <v>6556</v>
      </c>
      <c r="H23" s="8">
        <v>4604</v>
      </c>
      <c r="I23" s="8">
        <v>7105</v>
      </c>
      <c r="J23" s="8">
        <v>6296</v>
      </c>
      <c r="K23" s="8">
        <v>12351</v>
      </c>
      <c r="L23" s="8">
        <v>9078</v>
      </c>
      <c r="M23" s="8">
        <v>12167</v>
      </c>
      <c r="N23" s="8">
        <v>12351</v>
      </c>
      <c r="O23" s="10">
        <v>0.53080000000000005</v>
      </c>
      <c r="P23" s="10">
        <v>0.50719999999999998</v>
      </c>
      <c r="Q23" s="10">
        <v>0.58399999999999996</v>
      </c>
      <c r="R23" s="10">
        <v>0.50980000000000003</v>
      </c>
      <c r="S23" s="8">
        <v>184</v>
      </c>
      <c r="T23" s="8">
        <v>9078</v>
      </c>
      <c r="U23" s="8">
        <v>1068</v>
      </c>
      <c r="V23" s="8">
        <v>3089</v>
      </c>
      <c r="W23" s="8">
        <v>1285793.7279999901</v>
      </c>
      <c r="X23" s="8">
        <v>4292131.3599999798</v>
      </c>
      <c r="Y23" s="8">
        <v>408541.10399999999</v>
      </c>
      <c r="Z23" s="8">
        <v>75557.472000000096</v>
      </c>
      <c r="AA23" s="8">
        <v>350834.272</v>
      </c>
      <c r="AB23" s="12">
        <f t="shared" si="0"/>
        <v>188844367</v>
      </c>
    </row>
    <row r="24" spans="1:28" x14ac:dyDescent="0.25">
      <c r="A24" t="str">
        <f t="shared" si="1"/>
        <v>Waihou-Piako</v>
      </c>
      <c r="B24" t="str">
        <f>Scenario!D2</f>
        <v>low-uptake</v>
      </c>
      <c r="C24">
        <v>0</v>
      </c>
      <c r="D24" s="11">
        <v>1414664765</v>
      </c>
      <c r="E24" s="11">
        <v>1196543938</v>
      </c>
      <c r="F24" s="11">
        <v>413244508</v>
      </c>
      <c r="G24" s="7">
        <v>1332</v>
      </c>
      <c r="H24" s="7">
        <v>840</v>
      </c>
      <c r="I24" s="7">
        <v>1219</v>
      </c>
      <c r="J24" s="7">
        <v>1267</v>
      </c>
      <c r="K24" s="7">
        <v>12351</v>
      </c>
      <c r="L24" s="7">
        <v>9078</v>
      </c>
      <c r="M24" s="7">
        <v>12167</v>
      </c>
      <c r="N24" s="7">
        <v>12351</v>
      </c>
      <c r="O24" s="9">
        <v>0.10780000000000001</v>
      </c>
      <c r="P24" s="9">
        <v>9.2499999999999999E-2</v>
      </c>
      <c r="Q24" s="9">
        <v>0.1002</v>
      </c>
      <c r="R24" s="9">
        <v>0.1026</v>
      </c>
      <c r="S24" s="7">
        <v>184</v>
      </c>
      <c r="T24" s="7">
        <v>9078</v>
      </c>
      <c r="U24" s="7">
        <v>1068</v>
      </c>
      <c r="V24" s="7">
        <v>3089</v>
      </c>
      <c r="W24" s="7">
        <v>1379504.32</v>
      </c>
      <c r="X24" s="7">
        <v>5738137.5199999996</v>
      </c>
      <c r="Y24" s="7">
        <v>1133321.15199999</v>
      </c>
      <c r="Z24" s="7">
        <v>133573.856</v>
      </c>
      <c r="AA24" s="7">
        <v>724425.82399999897</v>
      </c>
      <c r="AB24" s="11">
        <f t="shared" si="0"/>
        <v>218120827</v>
      </c>
    </row>
    <row r="25" spans="1:28" x14ac:dyDescent="0.25">
      <c r="A25" t="str">
        <f t="shared" si="1"/>
        <v>Waihou-Piako</v>
      </c>
      <c r="B25" t="str">
        <f>B24</f>
        <v>low-uptake</v>
      </c>
      <c r="C25">
        <v>1</v>
      </c>
      <c r="D25" s="11">
        <v>1414355374</v>
      </c>
      <c r="E25" s="11">
        <v>1195580426</v>
      </c>
      <c r="F25" s="11">
        <v>560348737</v>
      </c>
      <c r="G25" s="7">
        <v>1533</v>
      </c>
      <c r="H25" s="7">
        <v>983</v>
      </c>
      <c r="I25" s="7">
        <v>1398</v>
      </c>
      <c r="J25" s="7">
        <v>1443</v>
      </c>
      <c r="K25" s="7">
        <v>12194</v>
      </c>
      <c r="L25" s="7">
        <v>8941</v>
      </c>
      <c r="M25" s="7">
        <v>12007</v>
      </c>
      <c r="N25" s="7">
        <v>12194</v>
      </c>
      <c r="O25" s="9">
        <v>0.12570000000000001</v>
      </c>
      <c r="P25" s="9">
        <v>0.1099</v>
      </c>
      <c r="Q25" s="9">
        <v>0.1164</v>
      </c>
      <c r="R25" s="9">
        <v>0.1183</v>
      </c>
      <c r="S25" s="7">
        <v>187</v>
      </c>
      <c r="T25" s="7">
        <v>8941</v>
      </c>
      <c r="U25" s="7">
        <v>1225</v>
      </c>
      <c r="V25" s="7">
        <v>3066</v>
      </c>
      <c r="W25" s="7">
        <v>1379442.71999999</v>
      </c>
      <c r="X25" s="7">
        <v>5738698.1280000098</v>
      </c>
      <c r="Y25" s="7">
        <v>1133888.91199999</v>
      </c>
      <c r="Z25" s="7">
        <v>133519.21599999999</v>
      </c>
      <c r="AA25" s="7">
        <v>724125.34400000004</v>
      </c>
      <c r="AB25" s="11">
        <f t="shared" si="0"/>
        <v>218774948</v>
      </c>
    </row>
    <row r="26" spans="1:28" x14ac:dyDescent="0.25">
      <c r="A26" t="str">
        <f t="shared" si="1"/>
        <v>Waihou-Piako</v>
      </c>
      <c r="B26" t="str">
        <f t="shared" si="1"/>
        <v>low-uptake</v>
      </c>
      <c r="C26">
        <v>2</v>
      </c>
      <c r="D26" s="11">
        <v>1405022734</v>
      </c>
      <c r="E26" s="11">
        <v>1188948964</v>
      </c>
      <c r="F26" s="11">
        <v>544045213</v>
      </c>
      <c r="G26" s="7">
        <v>1745</v>
      </c>
      <c r="H26" s="7">
        <v>1124</v>
      </c>
      <c r="I26" s="7">
        <v>1591</v>
      </c>
      <c r="J26" s="7">
        <v>1634</v>
      </c>
      <c r="K26" s="7">
        <v>12030</v>
      </c>
      <c r="L26" s="7">
        <v>8788</v>
      </c>
      <c r="M26" s="7">
        <v>11830</v>
      </c>
      <c r="N26" s="7">
        <v>12030</v>
      </c>
      <c r="O26" s="9">
        <v>0.14510000000000001</v>
      </c>
      <c r="P26" s="9">
        <v>0.12790000000000001</v>
      </c>
      <c r="Q26" s="9">
        <v>0.13450000000000001</v>
      </c>
      <c r="R26" s="9">
        <v>0.1358</v>
      </c>
      <c r="S26" s="7">
        <v>200</v>
      </c>
      <c r="T26" s="7">
        <v>8788</v>
      </c>
      <c r="U26" s="7">
        <v>1389</v>
      </c>
      <c r="V26" s="7">
        <v>3042</v>
      </c>
      <c r="W26" s="7">
        <v>1318198.48</v>
      </c>
      <c r="X26" s="7">
        <v>5604322.5279999999</v>
      </c>
      <c r="Y26" s="7">
        <v>1090810.2080000001</v>
      </c>
      <c r="Z26" s="7">
        <v>129350.336</v>
      </c>
      <c r="AA26" s="7">
        <v>695826.52800000005</v>
      </c>
      <c r="AB26" s="11">
        <f t="shared" si="0"/>
        <v>216073770</v>
      </c>
    </row>
    <row r="27" spans="1:28" x14ac:dyDescent="0.25">
      <c r="A27" t="str">
        <f t="shared" si="1"/>
        <v>Waihou-Piako</v>
      </c>
      <c r="B27" t="str">
        <f t="shared" si="1"/>
        <v>low-uptake</v>
      </c>
      <c r="C27">
        <v>3</v>
      </c>
      <c r="D27" s="11">
        <v>1394058213</v>
      </c>
      <c r="E27" s="11">
        <v>1181752817</v>
      </c>
      <c r="F27" s="11">
        <v>524108733</v>
      </c>
      <c r="G27" s="7">
        <v>1896</v>
      </c>
      <c r="H27" s="7">
        <v>1240</v>
      </c>
      <c r="I27" s="7">
        <v>1774</v>
      </c>
      <c r="J27" s="7">
        <v>1764</v>
      </c>
      <c r="K27" s="7">
        <v>11853</v>
      </c>
      <c r="L27" s="7">
        <v>8643</v>
      </c>
      <c r="M27" s="7">
        <v>11639</v>
      </c>
      <c r="N27" s="7">
        <v>11853</v>
      </c>
      <c r="O27" s="9">
        <v>0.16</v>
      </c>
      <c r="P27" s="9">
        <v>0.14349999999999999</v>
      </c>
      <c r="Q27" s="9">
        <v>0.15240000000000001</v>
      </c>
      <c r="R27" s="9">
        <v>0.14879999999999999</v>
      </c>
      <c r="S27" s="7">
        <v>214</v>
      </c>
      <c r="T27" s="7">
        <v>8643</v>
      </c>
      <c r="U27" s="7">
        <v>1566</v>
      </c>
      <c r="V27" s="7">
        <v>2996</v>
      </c>
      <c r="W27" s="7">
        <v>1256047.2</v>
      </c>
      <c r="X27" s="7">
        <v>5452569.8079999797</v>
      </c>
      <c r="Y27" s="7">
        <v>1041359.29599999</v>
      </c>
      <c r="Z27" s="7">
        <v>125067.887999999</v>
      </c>
      <c r="AA27" s="7">
        <v>664463.51999999804</v>
      </c>
      <c r="AB27" s="11">
        <f t="shared" si="0"/>
        <v>212305396</v>
      </c>
    </row>
    <row r="28" spans="1:28" x14ac:dyDescent="0.25">
      <c r="A28" t="str">
        <f t="shared" si="1"/>
        <v>Waihou-Piako</v>
      </c>
      <c r="B28" t="str">
        <f t="shared" si="1"/>
        <v>low-uptake</v>
      </c>
      <c r="C28">
        <v>4</v>
      </c>
      <c r="D28" s="11">
        <v>1386398241</v>
      </c>
      <c r="E28" s="11">
        <v>1174718645</v>
      </c>
      <c r="F28" s="11">
        <v>469381980</v>
      </c>
      <c r="G28" s="7">
        <v>2086</v>
      </c>
      <c r="H28" s="7">
        <v>1355</v>
      </c>
      <c r="I28" s="7">
        <v>1990</v>
      </c>
      <c r="J28" s="7">
        <v>1939</v>
      </c>
      <c r="K28" s="7">
        <v>11762</v>
      </c>
      <c r="L28" s="7">
        <v>8564</v>
      </c>
      <c r="M28" s="7">
        <v>11538</v>
      </c>
      <c r="N28" s="7">
        <v>11762</v>
      </c>
      <c r="O28" s="9">
        <v>0.1774</v>
      </c>
      <c r="P28" s="9">
        <v>0.15820000000000001</v>
      </c>
      <c r="Q28" s="9">
        <v>0.17249999999999999</v>
      </c>
      <c r="R28" s="9">
        <v>0.16489999999999999</v>
      </c>
      <c r="S28" s="7">
        <v>224</v>
      </c>
      <c r="T28" s="7">
        <v>8564</v>
      </c>
      <c r="U28" s="7">
        <v>1657</v>
      </c>
      <c r="V28" s="7">
        <v>2974</v>
      </c>
      <c r="W28" s="7">
        <v>1188589.264</v>
      </c>
      <c r="X28" s="7">
        <v>5326176.8159999996</v>
      </c>
      <c r="Y28" s="7">
        <v>997150.14399999904</v>
      </c>
      <c r="Z28" s="7">
        <v>121202.048</v>
      </c>
      <c r="AA28" s="7">
        <v>638524.48</v>
      </c>
      <c r="AB28" s="11">
        <f t="shared" si="0"/>
        <v>211679596</v>
      </c>
    </row>
    <row r="29" spans="1:28" x14ac:dyDescent="0.25">
      <c r="A29" t="str">
        <f t="shared" si="1"/>
        <v>Waihou-Piako</v>
      </c>
      <c r="B29" t="str">
        <f t="shared" si="1"/>
        <v>low-uptake</v>
      </c>
      <c r="C29">
        <v>5</v>
      </c>
      <c r="D29" s="11">
        <v>1378930400</v>
      </c>
      <c r="E29" s="11">
        <v>1169861189</v>
      </c>
      <c r="F29" s="11">
        <v>416380375</v>
      </c>
      <c r="G29" s="7">
        <v>2229</v>
      </c>
      <c r="H29" s="7">
        <v>1504</v>
      </c>
      <c r="I29" s="7">
        <v>2218</v>
      </c>
      <c r="J29" s="7">
        <v>2120</v>
      </c>
      <c r="K29" s="7">
        <v>11661</v>
      </c>
      <c r="L29" s="7">
        <v>8445</v>
      </c>
      <c r="M29" s="7">
        <v>11431</v>
      </c>
      <c r="N29" s="7">
        <v>11661</v>
      </c>
      <c r="O29" s="9">
        <v>0.19109999999999999</v>
      </c>
      <c r="P29" s="9">
        <v>0.17810000000000001</v>
      </c>
      <c r="Q29" s="9">
        <v>0.19400000000000001</v>
      </c>
      <c r="R29" s="9">
        <v>0.18179999999999999</v>
      </c>
      <c r="S29" s="7">
        <v>230</v>
      </c>
      <c r="T29" s="7">
        <v>8445</v>
      </c>
      <c r="U29" s="7">
        <v>1758</v>
      </c>
      <c r="V29" s="7">
        <v>2986</v>
      </c>
      <c r="W29" s="7">
        <v>1153623.264</v>
      </c>
      <c r="X29" s="7">
        <v>5221564.9279999901</v>
      </c>
      <c r="Y29" s="7">
        <v>959089.61599999899</v>
      </c>
      <c r="Z29" s="7">
        <v>117846.255999999</v>
      </c>
      <c r="AA29" s="7">
        <v>616187.679999999</v>
      </c>
      <c r="AB29" s="11">
        <f t="shared" si="0"/>
        <v>209069211</v>
      </c>
    </row>
    <row r="30" spans="1:28" x14ac:dyDescent="0.25">
      <c r="A30" t="str">
        <f t="shared" si="1"/>
        <v>Waihou-Piako</v>
      </c>
      <c r="B30" t="str">
        <f t="shared" si="1"/>
        <v>low-uptake</v>
      </c>
      <c r="C30">
        <v>6</v>
      </c>
      <c r="D30" s="11">
        <v>1369090377</v>
      </c>
      <c r="E30" s="11">
        <v>1162110428</v>
      </c>
      <c r="F30" s="11">
        <v>410131844</v>
      </c>
      <c r="G30" s="7">
        <v>2426</v>
      </c>
      <c r="H30" s="7">
        <v>1629</v>
      </c>
      <c r="I30" s="7">
        <v>2467</v>
      </c>
      <c r="J30" s="7">
        <v>2312</v>
      </c>
      <c r="K30" s="7">
        <v>11514</v>
      </c>
      <c r="L30" s="7">
        <v>8300</v>
      </c>
      <c r="M30" s="7">
        <v>11277</v>
      </c>
      <c r="N30" s="7">
        <v>11514</v>
      </c>
      <c r="O30" s="9">
        <v>0.2107</v>
      </c>
      <c r="P30" s="9">
        <v>0.1963</v>
      </c>
      <c r="Q30" s="9">
        <v>0.21879999999999999</v>
      </c>
      <c r="R30" s="9">
        <v>0.20080000000000001</v>
      </c>
      <c r="S30" s="7">
        <v>237</v>
      </c>
      <c r="T30" s="7">
        <v>8300</v>
      </c>
      <c r="U30" s="7">
        <v>1905</v>
      </c>
      <c r="V30" s="7">
        <v>2977</v>
      </c>
      <c r="W30" s="7">
        <v>1107929.92</v>
      </c>
      <c r="X30" s="7">
        <v>5109773.3759999899</v>
      </c>
      <c r="Y30" s="7">
        <v>919724.03199999803</v>
      </c>
      <c r="Z30" s="7">
        <v>114682.064</v>
      </c>
      <c r="AA30" s="7">
        <v>593233.00800000003</v>
      </c>
      <c r="AB30" s="11">
        <f t="shared" si="0"/>
        <v>206979949</v>
      </c>
    </row>
    <row r="31" spans="1:28" x14ac:dyDescent="0.25">
      <c r="A31" t="str">
        <f t="shared" si="1"/>
        <v>Waihou-Piako</v>
      </c>
      <c r="B31" t="str">
        <f t="shared" si="1"/>
        <v>low-uptake</v>
      </c>
      <c r="C31">
        <v>7</v>
      </c>
      <c r="D31" s="11">
        <v>1357772881</v>
      </c>
      <c r="E31" s="11">
        <v>1154322191</v>
      </c>
      <c r="F31" s="11">
        <v>413244130</v>
      </c>
      <c r="G31" s="7">
        <v>2586</v>
      </c>
      <c r="H31" s="7">
        <v>1755</v>
      </c>
      <c r="I31" s="7">
        <v>2607</v>
      </c>
      <c r="J31" s="7">
        <v>2492</v>
      </c>
      <c r="K31" s="7">
        <v>11438</v>
      </c>
      <c r="L31" s="7">
        <v>8213</v>
      </c>
      <c r="M31" s="7">
        <v>11184</v>
      </c>
      <c r="N31" s="7">
        <v>11438</v>
      </c>
      <c r="O31" s="9">
        <v>0.2261</v>
      </c>
      <c r="P31" s="9">
        <v>0.2137</v>
      </c>
      <c r="Q31" s="9">
        <v>0.2331</v>
      </c>
      <c r="R31" s="9">
        <v>0.21790000000000001</v>
      </c>
      <c r="S31" s="7">
        <v>254</v>
      </c>
      <c r="T31" s="7">
        <v>8213</v>
      </c>
      <c r="U31" s="7">
        <v>1981</v>
      </c>
      <c r="V31" s="7">
        <v>2971</v>
      </c>
      <c r="W31" s="7">
        <v>1046842.8959999901</v>
      </c>
      <c r="X31" s="7">
        <v>4972523.8880000096</v>
      </c>
      <c r="Y31" s="7">
        <v>872408.38399999996</v>
      </c>
      <c r="Z31" s="7">
        <v>110667.68</v>
      </c>
      <c r="AA31" s="7">
        <v>565699.92000000097</v>
      </c>
      <c r="AB31" s="11">
        <f t="shared" si="0"/>
        <v>203450690</v>
      </c>
    </row>
    <row r="32" spans="1:28" x14ac:dyDescent="0.25">
      <c r="A32" t="str">
        <f t="shared" si="1"/>
        <v>Waihou-Piako</v>
      </c>
      <c r="B32" t="str">
        <f t="shared" si="1"/>
        <v>low-uptake</v>
      </c>
      <c r="C32">
        <v>8</v>
      </c>
      <c r="D32" s="11">
        <v>1350909361</v>
      </c>
      <c r="E32" s="11">
        <v>1148825818</v>
      </c>
      <c r="F32" s="11">
        <v>431057134</v>
      </c>
      <c r="G32" s="7">
        <v>2764</v>
      </c>
      <c r="H32" s="7">
        <v>1847</v>
      </c>
      <c r="I32" s="7">
        <v>2771</v>
      </c>
      <c r="J32" s="7">
        <v>2691</v>
      </c>
      <c r="K32" s="7">
        <v>11354</v>
      </c>
      <c r="L32" s="7">
        <v>8078</v>
      </c>
      <c r="M32" s="7">
        <v>11074</v>
      </c>
      <c r="N32" s="7">
        <v>11354</v>
      </c>
      <c r="O32" s="9">
        <v>0.24340000000000001</v>
      </c>
      <c r="P32" s="9">
        <v>0.2286</v>
      </c>
      <c r="Q32" s="9">
        <v>0.25019999999999998</v>
      </c>
      <c r="R32" s="9">
        <v>0.23699999999999999</v>
      </c>
      <c r="S32" s="7">
        <v>280</v>
      </c>
      <c r="T32" s="7">
        <v>8078</v>
      </c>
      <c r="U32" s="7">
        <v>2065</v>
      </c>
      <c r="V32" s="7">
        <v>2996</v>
      </c>
      <c r="W32" s="7">
        <v>1017113.51999999</v>
      </c>
      <c r="X32" s="7">
        <v>4884861.8239999898</v>
      </c>
      <c r="Y32" s="7">
        <v>839703.63200000103</v>
      </c>
      <c r="Z32" s="7">
        <v>107869.008</v>
      </c>
      <c r="AA32" s="7">
        <v>547268.04799999902</v>
      </c>
      <c r="AB32" s="11">
        <f t="shared" si="0"/>
        <v>202083543</v>
      </c>
    </row>
    <row r="33" spans="1:28" x14ac:dyDescent="0.25">
      <c r="A33" t="str">
        <f t="shared" si="1"/>
        <v>Waihou-Piako</v>
      </c>
      <c r="B33" t="str">
        <f t="shared" si="1"/>
        <v>low-uptake</v>
      </c>
      <c r="C33">
        <v>9</v>
      </c>
      <c r="D33" s="11">
        <v>1339104579</v>
      </c>
      <c r="E33" s="11">
        <v>1138871314</v>
      </c>
      <c r="F33" s="11">
        <v>409636864</v>
      </c>
      <c r="G33" s="7">
        <v>2915</v>
      </c>
      <c r="H33" s="7">
        <v>1969</v>
      </c>
      <c r="I33" s="7">
        <v>2925</v>
      </c>
      <c r="J33" s="7">
        <v>2860</v>
      </c>
      <c r="K33" s="7">
        <v>11224</v>
      </c>
      <c r="L33" s="7">
        <v>7984</v>
      </c>
      <c r="M33" s="7">
        <v>10933</v>
      </c>
      <c r="N33" s="7">
        <v>11224</v>
      </c>
      <c r="O33" s="9">
        <v>0.25969999999999999</v>
      </c>
      <c r="P33" s="9">
        <v>0.24660000000000001</v>
      </c>
      <c r="Q33" s="9">
        <v>0.26750000000000002</v>
      </c>
      <c r="R33" s="9">
        <v>0.25480000000000003</v>
      </c>
      <c r="S33" s="7">
        <v>291</v>
      </c>
      <c r="T33" s="7">
        <v>7984</v>
      </c>
      <c r="U33" s="7">
        <v>2195</v>
      </c>
      <c r="V33" s="7">
        <v>2949</v>
      </c>
      <c r="W33" s="7">
        <v>973686.60800000001</v>
      </c>
      <c r="X33" s="7">
        <v>4751813.71199999</v>
      </c>
      <c r="Y33" s="7">
        <v>811552.71999999799</v>
      </c>
      <c r="Z33" s="7">
        <v>104218.38400000001</v>
      </c>
      <c r="AA33" s="7">
        <v>524390.04799999995</v>
      </c>
      <c r="AB33" s="11">
        <f t="shared" si="0"/>
        <v>200233265</v>
      </c>
    </row>
    <row r="34" spans="1:28" x14ac:dyDescent="0.25">
      <c r="A34" s="5" t="str">
        <f t="shared" si="1"/>
        <v>Waihou-Piako</v>
      </c>
      <c r="B34" s="5" t="str">
        <f t="shared" si="1"/>
        <v>low-uptake</v>
      </c>
      <c r="C34" s="5">
        <v>10</v>
      </c>
      <c r="D34" s="12">
        <v>1331830243</v>
      </c>
      <c r="E34" s="12">
        <v>1133958567</v>
      </c>
      <c r="F34" s="12">
        <v>419009405</v>
      </c>
      <c r="G34" s="8">
        <v>3062</v>
      </c>
      <c r="H34" s="8">
        <v>2115</v>
      </c>
      <c r="I34" s="8">
        <v>3099</v>
      </c>
      <c r="J34" s="8">
        <v>3041</v>
      </c>
      <c r="K34" s="8">
        <v>11178</v>
      </c>
      <c r="L34" s="8">
        <v>7931</v>
      </c>
      <c r="M34" s="8">
        <v>10878</v>
      </c>
      <c r="N34" s="8">
        <v>11178</v>
      </c>
      <c r="O34" s="10">
        <v>0.27389999999999998</v>
      </c>
      <c r="P34" s="10">
        <v>0.26669999999999999</v>
      </c>
      <c r="Q34" s="10">
        <v>0.28489999999999999</v>
      </c>
      <c r="R34" s="10">
        <v>0.27210000000000001</v>
      </c>
      <c r="S34" s="8">
        <v>300</v>
      </c>
      <c r="T34" s="8">
        <v>7931</v>
      </c>
      <c r="U34" s="8">
        <v>2241</v>
      </c>
      <c r="V34" s="8">
        <v>2947</v>
      </c>
      <c r="W34" s="8">
        <v>928033.40800000005</v>
      </c>
      <c r="X34" s="8">
        <v>4640285.6800000099</v>
      </c>
      <c r="Y34" s="8">
        <v>785326.88000000105</v>
      </c>
      <c r="Z34" s="8">
        <v>101168.848</v>
      </c>
      <c r="AA34" s="8">
        <v>504572.76799999899</v>
      </c>
      <c r="AB34" s="12">
        <f t="shared" si="0"/>
        <v>197871676</v>
      </c>
    </row>
    <row r="35" spans="1:28" x14ac:dyDescent="0.25">
      <c r="A35" t="str">
        <f t="shared" si="1"/>
        <v>Waihou-Piako</v>
      </c>
      <c r="B35" t="str">
        <f>Scenario!E2</f>
        <v>low-tech-change</v>
      </c>
      <c r="C35">
        <v>0</v>
      </c>
      <c r="D35" s="11">
        <v>1414664765</v>
      </c>
      <c r="E35" s="11">
        <v>1196543938</v>
      </c>
      <c r="F35" s="11">
        <v>413244508</v>
      </c>
      <c r="G35" s="7">
        <v>1332</v>
      </c>
      <c r="H35" s="7">
        <v>840</v>
      </c>
      <c r="I35" s="7">
        <v>1219</v>
      </c>
      <c r="J35" s="7">
        <v>1267</v>
      </c>
      <c r="K35" s="7">
        <v>12351</v>
      </c>
      <c r="L35" s="7">
        <v>9078</v>
      </c>
      <c r="M35" s="7">
        <v>12167</v>
      </c>
      <c r="N35" s="7">
        <v>12351</v>
      </c>
      <c r="O35" s="9">
        <v>0.10780000000000001</v>
      </c>
      <c r="P35" s="9">
        <v>9.2499999999999999E-2</v>
      </c>
      <c r="Q35" s="9">
        <v>0.1002</v>
      </c>
      <c r="R35" s="9">
        <v>0.1026</v>
      </c>
      <c r="S35" s="7">
        <v>184</v>
      </c>
      <c r="T35" s="7">
        <v>9078</v>
      </c>
      <c r="U35" s="7">
        <v>1068</v>
      </c>
      <c r="V35" s="7">
        <v>3089</v>
      </c>
      <c r="W35" s="7">
        <v>1379504.32</v>
      </c>
      <c r="X35" s="7">
        <v>5738137.5199999996</v>
      </c>
      <c r="Y35" s="7">
        <v>1133321.15199999</v>
      </c>
      <c r="Z35" s="7">
        <v>133573.856</v>
      </c>
      <c r="AA35" s="7">
        <v>724425.82399999897</v>
      </c>
      <c r="AB35" s="11">
        <f t="shared" si="0"/>
        <v>218120827</v>
      </c>
    </row>
    <row r="36" spans="1:28" x14ac:dyDescent="0.25">
      <c r="A36" t="str">
        <f t="shared" si="1"/>
        <v>Waihou-Piako</v>
      </c>
      <c r="B36" t="str">
        <f>B35</f>
        <v>low-tech-change</v>
      </c>
      <c r="C36">
        <v>1</v>
      </c>
      <c r="D36" s="11">
        <v>1414355374</v>
      </c>
      <c r="E36" s="11">
        <v>1195580426</v>
      </c>
      <c r="F36" s="11">
        <v>539290032</v>
      </c>
      <c r="G36" s="7">
        <v>1857</v>
      </c>
      <c r="H36" s="7">
        <v>1299</v>
      </c>
      <c r="I36" s="7">
        <v>1744</v>
      </c>
      <c r="J36" s="7">
        <v>1805</v>
      </c>
      <c r="K36" s="7">
        <v>11986</v>
      </c>
      <c r="L36" s="7">
        <v>8732</v>
      </c>
      <c r="M36" s="7">
        <v>11780</v>
      </c>
      <c r="N36" s="7">
        <v>11986</v>
      </c>
      <c r="O36" s="9">
        <v>0.15490000000000001</v>
      </c>
      <c r="P36" s="9">
        <v>0.14879999999999999</v>
      </c>
      <c r="Q36" s="9">
        <v>0.14799999999999999</v>
      </c>
      <c r="R36" s="9">
        <v>0.15060000000000001</v>
      </c>
      <c r="S36" s="7">
        <v>206</v>
      </c>
      <c r="T36" s="7">
        <v>8732</v>
      </c>
      <c r="U36" s="7">
        <v>1433</v>
      </c>
      <c r="V36" s="7">
        <v>3048</v>
      </c>
      <c r="W36" s="7">
        <v>1379442.72</v>
      </c>
      <c r="X36" s="7">
        <v>5738698.1279999996</v>
      </c>
      <c r="Y36" s="7">
        <v>1133888.912</v>
      </c>
      <c r="Z36" s="7">
        <v>133519.21599999999</v>
      </c>
      <c r="AA36" s="7">
        <v>724125.34400000004</v>
      </c>
      <c r="AB36" s="11">
        <f t="shared" si="0"/>
        <v>218774948</v>
      </c>
    </row>
    <row r="37" spans="1:28" x14ac:dyDescent="0.25">
      <c r="A37" t="str">
        <f t="shared" si="1"/>
        <v>Waihou-Piako</v>
      </c>
      <c r="B37" t="str">
        <f t="shared" si="1"/>
        <v>low-tech-change</v>
      </c>
      <c r="C37">
        <v>2</v>
      </c>
      <c r="D37" s="11">
        <v>1249731688</v>
      </c>
      <c r="E37" s="11">
        <v>1176412327</v>
      </c>
      <c r="F37" s="11">
        <v>368040856</v>
      </c>
      <c r="G37" s="7">
        <v>2355</v>
      </c>
      <c r="H37" s="7">
        <v>1568</v>
      </c>
      <c r="I37" s="7">
        <v>2189</v>
      </c>
      <c r="J37" s="7">
        <v>2233</v>
      </c>
      <c r="K37" s="7">
        <v>11723</v>
      </c>
      <c r="L37" s="7">
        <v>8530</v>
      </c>
      <c r="M37" s="7">
        <v>11519</v>
      </c>
      <c r="N37" s="7">
        <v>11723</v>
      </c>
      <c r="O37" s="9">
        <v>0.2009</v>
      </c>
      <c r="P37" s="9">
        <v>0.18379999999999999</v>
      </c>
      <c r="Q37" s="9">
        <v>0.19</v>
      </c>
      <c r="R37" s="9">
        <v>0.1905</v>
      </c>
      <c r="S37" s="7">
        <v>204</v>
      </c>
      <c r="T37" s="7">
        <v>8530</v>
      </c>
      <c r="U37" s="7">
        <v>1696</v>
      </c>
      <c r="V37" s="7">
        <v>2989</v>
      </c>
      <c r="W37" s="7">
        <v>1232595.2479999999</v>
      </c>
      <c r="X37" s="7">
        <v>5371382.6880000001</v>
      </c>
      <c r="Y37" s="7">
        <v>1021632.72</v>
      </c>
      <c r="Z37" s="7">
        <v>122403.344</v>
      </c>
      <c r="AA37" s="7">
        <v>646410.76799999899</v>
      </c>
      <c r="AB37" s="11">
        <f t="shared" si="0"/>
        <v>73319361</v>
      </c>
    </row>
    <row r="38" spans="1:28" x14ac:dyDescent="0.25">
      <c r="A38" t="str">
        <f t="shared" si="1"/>
        <v>Waihou-Piako</v>
      </c>
      <c r="B38" t="str">
        <f t="shared" si="1"/>
        <v>low-tech-change</v>
      </c>
      <c r="C38">
        <v>3</v>
      </c>
      <c r="D38" s="11">
        <v>1236678093</v>
      </c>
      <c r="E38" s="11">
        <v>1167502437</v>
      </c>
      <c r="F38" s="11">
        <v>268722386</v>
      </c>
      <c r="G38" s="7">
        <v>2808</v>
      </c>
      <c r="H38" s="7">
        <v>1839</v>
      </c>
      <c r="I38" s="7">
        <v>2534</v>
      </c>
      <c r="J38" s="7">
        <v>2563</v>
      </c>
      <c r="K38" s="7">
        <v>11243</v>
      </c>
      <c r="L38" s="7">
        <v>8159</v>
      </c>
      <c r="M38" s="7">
        <v>11027</v>
      </c>
      <c r="N38" s="7">
        <v>11243</v>
      </c>
      <c r="O38" s="9">
        <v>0.24979999999999999</v>
      </c>
      <c r="P38" s="9">
        <v>0.22539999999999999</v>
      </c>
      <c r="Q38" s="9">
        <v>0.2298</v>
      </c>
      <c r="R38" s="9">
        <v>0.22800000000000001</v>
      </c>
      <c r="S38" s="7">
        <v>216</v>
      </c>
      <c r="T38" s="7">
        <v>8159</v>
      </c>
      <c r="U38" s="7">
        <v>2176</v>
      </c>
      <c r="V38" s="7">
        <v>2868</v>
      </c>
      <c r="W38" s="7">
        <v>1134521.4719999901</v>
      </c>
      <c r="X38" s="7">
        <v>5104942.5920000002</v>
      </c>
      <c r="Y38" s="7">
        <v>928105.679999999</v>
      </c>
      <c r="Z38" s="7">
        <v>113993.90399999999</v>
      </c>
      <c r="AA38" s="7">
        <v>589045.98399999796</v>
      </c>
      <c r="AB38" s="11">
        <f t="shared" si="0"/>
        <v>69175656</v>
      </c>
    </row>
    <row r="39" spans="1:28" x14ac:dyDescent="0.25">
      <c r="A39" t="str">
        <f t="shared" si="1"/>
        <v>Waihou-Piako</v>
      </c>
      <c r="B39" t="str">
        <f t="shared" si="1"/>
        <v>low-tech-change</v>
      </c>
      <c r="C39">
        <v>4</v>
      </c>
      <c r="D39" s="11">
        <v>1215573501</v>
      </c>
      <c r="E39" s="11">
        <v>1149478228</v>
      </c>
      <c r="F39" s="11">
        <v>191482186</v>
      </c>
      <c r="G39" s="7">
        <v>3258</v>
      </c>
      <c r="H39" s="7">
        <v>2118</v>
      </c>
      <c r="I39" s="7">
        <v>2979</v>
      </c>
      <c r="J39" s="7">
        <v>3009</v>
      </c>
      <c r="K39" s="7">
        <v>10925</v>
      </c>
      <c r="L39" s="7">
        <v>7903</v>
      </c>
      <c r="M39" s="7">
        <v>10683</v>
      </c>
      <c r="N39" s="7">
        <v>10925</v>
      </c>
      <c r="O39" s="9">
        <v>0.29820000000000002</v>
      </c>
      <c r="P39" s="9">
        <v>0.26800000000000002</v>
      </c>
      <c r="Q39" s="9">
        <v>0.27889999999999998</v>
      </c>
      <c r="R39" s="9">
        <v>0.27539999999999998</v>
      </c>
      <c r="S39" s="7">
        <v>242</v>
      </c>
      <c r="T39" s="7">
        <v>7903</v>
      </c>
      <c r="U39" s="7">
        <v>2494</v>
      </c>
      <c r="V39" s="7">
        <v>2780</v>
      </c>
      <c r="W39" s="7">
        <v>960019.55199999595</v>
      </c>
      <c r="X39" s="7">
        <v>4769657.0240000002</v>
      </c>
      <c r="Y39" s="7">
        <v>832134.46399999596</v>
      </c>
      <c r="Z39" s="7">
        <v>104856.512</v>
      </c>
      <c r="AA39" s="7">
        <v>525622.44799999997</v>
      </c>
      <c r="AB39" s="11">
        <f t="shared" si="0"/>
        <v>66095273</v>
      </c>
    </row>
    <row r="40" spans="1:28" x14ac:dyDescent="0.25">
      <c r="A40" t="str">
        <f t="shared" si="1"/>
        <v>Waihou-Piako</v>
      </c>
      <c r="B40" t="str">
        <f t="shared" si="1"/>
        <v>low-tech-change</v>
      </c>
      <c r="C40">
        <v>5</v>
      </c>
      <c r="D40" s="11">
        <v>1200582478</v>
      </c>
      <c r="E40" s="11">
        <v>1138781608</v>
      </c>
      <c r="F40" s="11">
        <v>151907575</v>
      </c>
      <c r="G40" s="7">
        <v>3632</v>
      </c>
      <c r="H40" s="7">
        <v>2424</v>
      </c>
      <c r="I40" s="7">
        <v>3551</v>
      </c>
      <c r="J40" s="7">
        <v>3437</v>
      </c>
      <c r="K40" s="7">
        <v>10757</v>
      </c>
      <c r="L40" s="7">
        <v>7770</v>
      </c>
      <c r="M40" s="7">
        <v>10501</v>
      </c>
      <c r="N40" s="7">
        <v>10757</v>
      </c>
      <c r="O40" s="9">
        <v>0.33760000000000001</v>
      </c>
      <c r="P40" s="9">
        <v>0.312</v>
      </c>
      <c r="Q40" s="9">
        <v>0.3382</v>
      </c>
      <c r="R40" s="9">
        <v>0.31950000000000001</v>
      </c>
      <c r="S40" s="7">
        <v>256</v>
      </c>
      <c r="T40" s="7">
        <v>7770</v>
      </c>
      <c r="U40" s="7">
        <v>2662</v>
      </c>
      <c r="V40" s="7">
        <v>2731</v>
      </c>
      <c r="W40" s="7">
        <v>839892.24000000104</v>
      </c>
      <c r="X40" s="7">
        <v>4474977.1199999796</v>
      </c>
      <c r="Y40" s="7">
        <v>745728.32</v>
      </c>
      <c r="Z40" s="7">
        <v>96126.9920000001</v>
      </c>
      <c r="AA40" s="7">
        <v>469869.88799999899</v>
      </c>
      <c r="AB40" s="11">
        <f t="shared" si="0"/>
        <v>61800870</v>
      </c>
    </row>
    <row r="41" spans="1:28" x14ac:dyDescent="0.25">
      <c r="A41" t="str">
        <f t="shared" si="1"/>
        <v>Waihou-Piako</v>
      </c>
      <c r="B41" t="str">
        <f t="shared" si="1"/>
        <v>low-tech-change</v>
      </c>
      <c r="C41">
        <v>6</v>
      </c>
      <c r="D41" s="11">
        <v>1192197940</v>
      </c>
      <c r="E41" s="11">
        <v>1130765560</v>
      </c>
      <c r="F41" s="11">
        <v>137250694</v>
      </c>
      <c r="G41" s="7">
        <v>3957</v>
      </c>
      <c r="H41" s="7">
        <v>2658</v>
      </c>
      <c r="I41" s="7">
        <v>4024</v>
      </c>
      <c r="J41" s="7">
        <v>3807</v>
      </c>
      <c r="K41" s="7">
        <v>10525</v>
      </c>
      <c r="L41" s="7">
        <v>7555</v>
      </c>
      <c r="M41" s="7">
        <v>10234</v>
      </c>
      <c r="N41" s="7">
        <v>10525</v>
      </c>
      <c r="O41" s="9">
        <v>0.376</v>
      </c>
      <c r="P41" s="9">
        <v>0.3518</v>
      </c>
      <c r="Q41" s="9">
        <v>0.39319999999999999</v>
      </c>
      <c r="R41" s="9">
        <v>0.36170000000000002</v>
      </c>
      <c r="S41" s="7">
        <v>291</v>
      </c>
      <c r="T41" s="7">
        <v>7555</v>
      </c>
      <c r="U41" s="7">
        <v>2894</v>
      </c>
      <c r="V41" s="7">
        <v>2679</v>
      </c>
      <c r="W41" s="7">
        <v>772404.62399999704</v>
      </c>
      <c r="X41" s="7">
        <v>4262482.8320000004</v>
      </c>
      <c r="Y41" s="7">
        <v>662461.47199999704</v>
      </c>
      <c r="Z41" s="7">
        <v>90062.111999999805</v>
      </c>
      <c r="AA41" s="7">
        <v>429500.12799999898</v>
      </c>
      <c r="AB41" s="11">
        <f t="shared" si="0"/>
        <v>61432380</v>
      </c>
    </row>
    <row r="42" spans="1:28" x14ac:dyDescent="0.25">
      <c r="A42" t="str">
        <f t="shared" si="1"/>
        <v>Waihou-Piako</v>
      </c>
      <c r="B42" t="str">
        <f t="shared" si="1"/>
        <v>low-tech-change</v>
      </c>
      <c r="C42">
        <v>7</v>
      </c>
      <c r="D42" s="11">
        <v>1178729374</v>
      </c>
      <c r="E42" s="11">
        <v>1122186366</v>
      </c>
      <c r="F42" s="11">
        <v>152664828</v>
      </c>
      <c r="G42" s="7">
        <v>4299</v>
      </c>
      <c r="H42" s="7">
        <v>2930</v>
      </c>
      <c r="I42" s="7">
        <v>4419</v>
      </c>
      <c r="J42" s="7">
        <v>4185</v>
      </c>
      <c r="K42" s="7">
        <v>10369</v>
      </c>
      <c r="L42" s="7">
        <v>7423</v>
      </c>
      <c r="M42" s="7">
        <v>10064</v>
      </c>
      <c r="N42" s="7">
        <v>10369</v>
      </c>
      <c r="O42" s="9">
        <v>0.41460000000000002</v>
      </c>
      <c r="P42" s="9">
        <v>0.3947</v>
      </c>
      <c r="Q42" s="9">
        <v>0.43909999999999999</v>
      </c>
      <c r="R42" s="9">
        <v>0.40360000000000001</v>
      </c>
      <c r="S42" s="7">
        <v>305</v>
      </c>
      <c r="T42" s="7">
        <v>7423</v>
      </c>
      <c r="U42" s="7">
        <v>3050</v>
      </c>
      <c r="V42" s="7">
        <v>2641</v>
      </c>
      <c r="W42" s="7">
        <v>679687.13599999901</v>
      </c>
      <c r="X42" s="7">
        <v>4030112.16</v>
      </c>
      <c r="Y42" s="7">
        <v>597765.82400000002</v>
      </c>
      <c r="Z42" s="7">
        <v>83436.048000000097</v>
      </c>
      <c r="AA42" s="7">
        <v>387936.38400000101</v>
      </c>
      <c r="AB42" s="11">
        <f t="shared" si="0"/>
        <v>56543008</v>
      </c>
    </row>
    <row r="43" spans="1:28" x14ac:dyDescent="0.25">
      <c r="A43" t="str">
        <f t="shared" si="1"/>
        <v>Waihou-Piako</v>
      </c>
      <c r="B43" t="str">
        <f t="shared" si="1"/>
        <v>low-tech-change</v>
      </c>
      <c r="C43">
        <v>8</v>
      </c>
      <c r="D43" s="11">
        <v>1171117580</v>
      </c>
      <c r="E43" s="11">
        <v>1116030513</v>
      </c>
      <c r="F43" s="11">
        <v>148273044</v>
      </c>
      <c r="G43" s="7">
        <v>4610</v>
      </c>
      <c r="H43" s="7">
        <v>3126</v>
      </c>
      <c r="I43" s="7">
        <v>4670</v>
      </c>
      <c r="J43" s="7">
        <v>4611</v>
      </c>
      <c r="K43" s="7">
        <v>10230</v>
      </c>
      <c r="L43" s="7">
        <v>7306</v>
      </c>
      <c r="M43" s="7">
        <v>9911</v>
      </c>
      <c r="N43" s="7">
        <v>10230</v>
      </c>
      <c r="O43" s="9">
        <v>0.4506</v>
      </c>
      <c r="P43" s="9">
        <v>0.4279</v>
      </c>
      <c r="Q43" s="9">
        <v>0.47120000000000001</v>
      </c>
      <c r="R43" s="9">
        <v>0.45069999999999999</v>
      </c>
      <c r="S43" s="7">
        <v>319</v>
      </c>
      <c r="T43" s="7">
        <v>7306</v>
      </c>
      <c r="U43" s="7">
        <v>3189</v>
      </c>
      <c r="V43" s="7">
        <v>2605</v>
      </c>
      <c r="W43" s="7">
        <v>618902.17599999998</v>
      </c>
      <c r="X43" s="7">
        <v>3853484.6880000001</v>
      </c>
      <c r="Y43" s="7">
        <v>539523.55199999898</v>
      </c>
      <c r="Z43" s="7">
        <v>78195.072000000102</v>
      </c>
      <c r="AA43" s="7">
        <v>352942.288</v>
      </c>
      <c r="AB43" s="11">
        <f t="shared" si="0"/>
        <v>55087067</v>
      </c>
    </row>
    <row r="44" spans="1:28" x14ac:dyDescent="0.25">
      <c r="A44" t="str">
        <f t="shared" si="1"/>
        <v>Waihou-Piako</v>
      </c>
      <c r="B44" t="str">
        <f t="shared" si="1"/>
        <v>low-tech-change</v>
      </c>
      <c r="C44">
        <v>9</v>
      </c>
      <c r="D44" s="11">
        <v>1162971879</v>
      </c>
      <c r="E44" s="11">
        <v>1109662085</v>
      </c>
      <c r="F44" s="11">
        <v>158592891</v>
      </c>
      <c r="G44" s="7">
        <v>4813</v>
      </c>
      <c r="H44" s="7">
        <v>3381</v>
      </c>
      <c r="I44" s="7">
        <v>4893</v>
      </c>
      <c r="J44" s="7">
        <v>4864</v>
      </c>
      <c r="K44" s="7">
        <v>10013</v>
      </c>
      <c r="L44" s="7">
        <v>7120</v>
      </c>
      <c r="M44" s="7">
        <v>9694</v>
      </c>
      <c r="N44" s="7">
        <v>10013</v>
      </c>
      <c r="O44" s="9">
        <v>0.48070000000000002</v>
      </c>
      <c r="P44" s="9">
        <v>0.47489999999999999</v>
      </c>
      <c r="Q44" s="9">
        <v>0.50470000000000004</v>
      </c>
      <c r="R44" s="9">
        <v>0.48580000000000001</v>
      </c>
      <c r="S44" s="7">
        <v>319</v>
      </c>
      <c r="T44" s="7">
        <v>7120</v>
      </c>
      <c r="U44" s="7">
        <v>3406</v>
      </c>
      <c r="V44" s="7">
        <v>2574</v>
      </c>
      <c r="W44" s="7">
        <v>563646.81599999801</v>
      </c>
      <c r="X44" s="7">
        <v>3668722.5440000002</v>
      </c>
      <c r="Y44" s="7">
        <v>496882.59199999901</v>
      </c>
      <c r="Z44" s="7">
        <v>73292.479999999996</v>
      </c>
      <c r="AA44" s="7">
        <v>321105.63199999998</v>
      </c>
      <c r="AB44" s="11">
        <f t="shared" si="0"/>
        <v>53309794</v>
      </c>
    </row>
    <row r="45" spans="1:28" x14ac:dyDescent="0.25">
      <c r="A45" s="5" t="str">
        <f t="shared" si="1"/>
        <v>Waihou-Piako</v>
      </c>
      <c r="B45" s="5" t="str">
        <f t="shared" si="1"/>
        <v>low-tech-change</v>
      </c>
      <c r="C45" s="5">
        <v>10</v>
      </c>
      <c r="D45" s="12">
        <v>1152349232</v>
      </c>
      <c r="E45" s="12">
        <v>1101431128</v>
      </c>
      <c r="F45" s="12">
        <v>162253466</v>
      </c>
      <c r="G45" s="8">
        <v>5221</v>
      </c>
      <c r="H45" s="8">
        <v>3580</v>
      </c>
      <c r="I45" s="8">
        <v>5054</v>
      </c>
      <c r="J45" s="8">
        <v>5152</v>
      </c>
      <c r="K45" s="8">
        <v>9832</v>
      </c>
      <c r="L45" s="8">
        <v>6972</v>
      </c>
      <c r="M45" s="8">
        <v>9504</v>
      </c>
      <c r="N45" s="8">
        <v>9832</v>
      </c>
      <c r="O45" s="10">
        <v>0.53100000000000003</v>
      </c>
      <c r="P45" s="10">
        <v>0.51349999999999996</v>
      </c>
      <c r="Q45" s="10">
        <v>0.53180000000000005</v>
      </c>
      <c r="R45" s="10">
        <v>0.52400000000000002</v>
      </c>
      <c r="S45" s="8">
        <v>328</v>
      </c>
      <c r="T45" s="8">
        <v>6972</v>
      </c>
      <c r="U45" s="8">
        <v>3587</v>
      </c>
      <c r="V45" s="8">
        <v>2532</v>
      </c>
      <c r="W45" s="8">
        <v>484916.41599999898</v>
      </c>
      <c r="X45" s="8">
        <v>3487141.2639999902</v>
      </c>
      <c r="Y45" s="8">
        <v>475326.33599999902</v>
      </c>
      <c r="Z45" s="8">
        <v>69415.312000000005</v>
      </c>
      <c r="AA45" s="8">
        <v>296310.68800000002</v>
      </c>
      <c r="AB45" s="12">
        <f t="shared" si="0"/>
        <v>50918104</v>
      </c>
    </row>
    <row r="46" spans="1:28" x14ac:dyDescent="0.25">
      <c r="A46" t="str">
        <f t="shared" si="1"/>
        <v>Waihou-Piako</v>
      </c>
      <c r="B46" t="str">
        <f>Scenario!F2</f>
        <v>farm-plan-only</v>
      </c>
      <c r="C46">
        <v>0</v>
      </c>
      <c r="D46" s="11">
        <v>1414664765</v>
      </c>
      <c r="E46" s="11">
        <v>1196543938</v>
      </c>
      <c r="F46" s="11">
        <v>413244508</v>
      </c>
      <c r="G46" s="7">
        <v>1332</v>
      </c>
      <c r="H46" s="7">
        <v>840</v>
      </c>
      <c r="I46" s="7">
        <v>1219</v>
      </c>
      <c r="J46" s="7">
        <v>1267</v>
      </c>
      <c r="K46" s="7">
        <v>12351</v>
      </c>
      <c r="L46" s="7">
        <v>9078</v>
      </c>
      <c r="M46" s="7">
        <v>12167</v>
      </c>
      <c r="N46" s="7">
        <v>12351</v>
      </c>
      <c r="O46" s="9">
        <v>0.10780000000000001</v>
      </c>
      <c r="P46" s="9">
        <v>9.2499999999999999E-2</v>
      </c>
      <c r="Q46" s="9">
        <v>0.1002</v>
      </c>
      <c r="R46" s="9">
        <v>0.1026</v>
      </c>
      <c r="S46" s="7">
        <v>184</v>
      </c>
      <c r="T46" s="7">
        <v>9078</v>
      </c>
      <c r="U46" s="7">
        <v>1068</v>
      </c>
      <c r="V46" s="7">
        <v>3089</v>
      </c>
      <c r="W46" s="7">
        <v>1379504.32</v>
      </c>
      <c r="X46" s="7">
        <v>5738137.5199999996</v>
      </c>
      <c r="Y46" s="7">
        <v>1133321.15199999</v>
      </c>
      <c r="Z46" s="7">
        <v>133573.856</v>
      </c>
      <c r="AA46" s="7">
        <v>724425.82399999897</v>
      </c>
      <c r="AB46" s="11">
        <f t="shared" si="0"/>
        <v>218120827</v>
      </c>
    </row>
    <row r="47" spans="1:28" x14ac:dyDescent="0.25">
      <c r="A47" t="str">
        <f t="shared" si="1"/>
        <v>Waihou-Piako</v>
      </c>
      <c r="B47" t="str">
        <f>B46</f>
        <v>farm-plan-only</v>
      </c>
      <c r="C47">
        <v>1</v>
      </c>
      <c r="D47" s="11">
        <v>1414355374</v>
      </c>
      <c r="E47" s="11">
        <v>1195580426</v>
      </c>
      <c r="F47" s="11">
        <v>562628432</v>
      </c>
      <c r="G47" s="7">
        <v>1286</v>
      </c>
      <c r="H47" s="7">
        <v>811</v>
      </c>
      <c r="I47" s="7">
        <v>1744</v>
      </c>
      <c r="J47" s="7">
        <v>1256</v>
      </c>
      <c r="K47" s="7">
        <v>11986</v>
      </c>
      <c r="L47" s="7">
        <v>8732</v>
      </c>
      <c r="M47" s="7">
        <v>11780</v>
      </c>
      <c r="N47" s="7">
        <v>11986</v>
      </c>
      <c r="O47" s="9">
        <v>0.10730000000000001</v>
      </c>
      <c r="P47" s="9">
        <v>9.2899999999999996E-2</v>
      </c>
      <c r="Q47" s="9">
        <v>0.14799999999999999</v>
      </c>
      <c r="R47" s="9">
        <v>0.1048</v>
      </c>
      <c r="S47" s="7">
        <v>206</v>
      </c>
      <c r="T47" s="7">
        <v>8732</v>
      </c>
      <c r="U47" s="7">
        <v>1433</v>
      </c>
      <c r="V47" s="7">
        <v>3048</v>
      </c>
      <c r="W47" s="7">
        <v>1379442.71999999</v>
      </c>
      <c r="X47" s="7">
        <v>5738698.1280000098</v>
      </c>
      <c r="Y47" s="7">
        <v>1133888.912</v>
      </c>
      <c r="Z47" s="7">
        <v>133519.21599999999</v>
      </c>
      <c r="AA47" s="7">
        <v>724125.34400000097</v>
      </c>
      <c r="AB47" s="11">
        <f t="shared" si="0"/>
        <v>218774948</v>
      </c>
    </row>
    <row r="48" spans="1:28" x14ac:dyDescent="0.25">
      <c r="A48" t="str">
        <f t="shared" si="1"/>
        <v>Waihou-Piako</v>
      </c>
      <c r="B48" t="str">
        <f t="shared" si="1"/>
        <v>farm-plan-only</v>
      </c>
      <c r="C48">
        <v>2</v>
      </c>
      <c r="D48" s="11">
        <v>1390915587</v>
      </c>
      <c r="E48" s="11">
        <v>1177015933</v>
      </c>
      <c r="F48" s="11">
        <v>555603543</v>
      </c>
      <c r="G48" s="7">
        <v>1263</v>
      </c>
      <c r="H48" s="7">
        <v>767</v>
      </c>
      <c r="I48" s="7">
        <v>2284</v>
      </c>
      <c r="J48" s="7">
        <v>1218</v>
      </c>
      <c r="K48" s="7">
        <v>11624</v>
      </c>
      <c r="L48" s="7">
        <v>8408</v>
      </c>
      <c r="M48" s="7">
        <v>11402</v>
      </c>
      <c r="N48" s="7">
        <v>11624</v>
      </c>
      <c r="O48" s="9">
        <v>0.1087</v>
      </c>
      <c r="P48" s="9">
        <v>9.1200000000000003E-2</v>
      </c>
      <c r="Q48" s="9">
        <v>0.20030000000000001</v>
      </c>
      <c r="R48" s="9">
        <v>0.1048</v>
      </c>
      <c r="S48" s="7">
        <v>222</v>
      </c>
      <c r="T48" s="7">
        <v>8408</v>
      </c>
      <c r="U48" s="7">
        <v>1795</v>
      </c>
      <c r="V48" s="7">
        <v>2994</v>
      </c>
      <c r="W48" s="7">
        <v>1243408.8160000001</v>
      </c>
      <c r="X48" s="7">
        <v>5547521.45599999</v>
      </c>
      <c r="Y48" s="7">
        <v>1090110.4480000001</v>
      </c>
      <c r="Z48" s="7">
        <v>129110.143999999</v>
      </c>
      <c r="AA48" s="7">
        <v>699435.39200000104</v>
      </c>
      <c r="AB48" s="11">
        <f t="shared" si="0"/>
        <v>213899654</v>
      </c>
    </row>
    <row r="49" spans="1:28" x14ac:dyDescent="0.25">
      <c r="A49" t="str">
        <f t="shared" si="1"/>
        <v>Waihou-Piako</v>
      </c>
      <c r="B49" t="str">
        <f t="shared" si="1"/>
        <v>farm-plan-only</v>
      </c>
      <c r="C49">
        <v>3</v>
      </c>
      <c r="D49" s="11">
        <v>1369601736</v>
      </c>
      <c r="E49" s="11">
        <v>1159092763</v>
      </c>
      <c r="F49" s="11">
        <v>525130408</v>
      </c>
      <c r="G49" s="7">
        <v>1230</v>
      </c>
      <c r="H49" s="7">
        <v>751</v>
      </c>
      <c r="I49" s="7">
        <v>2852</v>
      </c>
      <c r="J49" s="7">
        <v>1197</v>
      </c>
      <c r="K49" s="7">
        <v>11363</v>
      </c>
      <c r="L49" s="7">
        <v>8135</v>
      </c>
      <c r="M49" s="7">
        <v>11121</v>
      </c>
      <c r="N49" s="7">
        <v>11363</v>
      </c>
      <c r="O49" s="9">
        <v>0.1082</v>
      </c>
      <c r="P49" s="9">
        <v>9.2299999999999993E-2</v>
      </c>
      <c r="Q49" s="9">
        <v>0.25650000000000001</v>
      </c>
      <c r="R49" s="9">
        <v>0.1053</v>
      </c>
      <c r="S49" s="7">
        <v>242</v>
      </c>
      <c r="T49" s="7">
        <v>8135</v>
      </c>
      <c r="U49" s="7">
        <v>2056</v>
      </c>
      <c r="V49" s="7">
        <v>2986</v>
      </c>
      <c r="W49" s="7">
        <v>1107960.736</v>
      </c>
      <c r="X49" s="7">
        <v>5369738.3679999998</v>
      </c>
      <c r="Y49" s="7">
        <v>1045423.232</v>
      </c>
      <c r="Z49" s="7">
        <v>124905.152</v>
      </c>
      <c r="AA49" s="7">
        <v>676959.2</v>
      </c>
      <c r="AB49" s="11">
        <f t="shared" si="0"/>
        <v>210508973</v>
      </c>
    </row>
    <row r="50" spans="1:28" x14ac:dyDescent="0.25">
      <c r="A50" t="str">
        <f t="shared" si="1"/>
        <v>Waihou-Piako</v>
      </c>
      <c r="B50" t="str">
        <f t="shared" si="1"/>
        <v>farm-plan-only</v>
      </c>
      <c r="C50">
        <v>4</v>
      </c>
      <c r="D50" s="11">
        <v>1351406449</v>
      </c>
      <c r="E50" s="11">
        <v>1143518699</v>
      </c>
      <c r="F50" s="11">
        <v>458747408</v>
      </c>
      <c r="G50" s="7">
        <v>1201</v>
      </c>
      <c r="H50" s="7">
        <v>743</v>
      </c>
      <c r="I50" s="7">
        <v>3376</v>
      </c>
      <c r="J50" s="7">
        <v>1151</v>
      </c>
      <c r="K50" s="7">
        <v>11083</v>
      </c>
      <c r="L50" s="7">
        <v>7951</v>
      </c>
      <c r="M50" s="7">
        <v>10827</v>
      </c>
      <c r="N50" s="7">
        <v>11083</v>
      </c>
      <c r="O50" s="9">
        <v>0.1084</v>
      </c>
      <c r="P50" s="9">
        <v>9.3399999999999997E-2</v>
      </c>
      <c r="Q50" s="9">
        <v>0.31180000000000002</v>
      </c>
      <c r="R50" s="9">
        <v>0.10390000000000001</v>
      </c>
      <c r="S50" s="7">
        <v>256</v>
      </c>
      <c r="T50" s="7">
        <v>7951</v>
      </c>
      <c r="U50" s="7">
        <v>2336</v>
      </c>
      <c r="V50" s="7">
        <v>2876</v>
      </c>
      <c r="W50" s="7">
        <v>1003403.00799999</v>
      </c>
      <c r="X50" s="7">
        <v>5225686.4800000004</v>
      </c>
      <c r="Y50" s="7">
        <v>995383.87199999904</v>
      </c>
      <c r="Z50" s="7">
        <v>121081.999999999</v>
      </c>
      <c r="AA50" s="7">
        <v>658094.14399999997</v>
      </c>
      <c r="AB50" s="11">
        <f t="shared" si="0"/>
        <v>207887750</v>
      </c>
    </row>
    <row r="51" spans="1:28" x14ac:dyDescent="0.25">
      <c r="A51" t="str">
        <f t="shared" si="1"/>
        <v>Waihou-Piako</v>
      </c>
      <c r="B51" t="str">
        <f t="shared" si="1"/>
        <v>farm-plan-only</v>
      </c>
      <c r="C51">
        <v>5</v>
      </c>
      <c r="D51" s="11">
        <v>1342563381</v>
      </c>
      <c r="E51" s="11">
        <v>1135681008</v>
      </c>
      <c r="F51" s="11">
        <v>424041503</v>
      </c>
      <c r="G51" s="7">
        <v>1160</v>
      </c>
      <c r="H51" s="7">
        <v>713</v>
      </c>
      <c r="I51" s="7">
        <v>3825</v>
      </c>
      <c r="J51" s="7">
        <v>1149</v>
      </c>
      <c r="K51" s="7">
        <v>10942</v>
      </c>
      <c r="L51" s="7">
        <v>7830</v>
      </c>
      <c r="M51" s="7">
        <v>10656</v>
      </c>
      <c r="N51" s="7">
        <v>10942</v>
      </c>
      <c r="O51" s="9">
        <v>0.106</v>
      </c>
      <c r="P51" s="9">
        <v>9.11E-2</v>
      </c>
      <c r="Q51" s="9">
        <v>0.35899999999999999</v>
      </c>
      <c r="R51" s="9">
        <v>0.105</v>
      </c>
      <c r="S51" s="7">
        <v>286</v>
      </c>
      <c r="T51" s="7">
        <v>7830</v>
      </c>
      <c r="U51" s="7">
        <v>2477</v>
      </c>
      <c r="V51" s="7">
        <v>2826</v>
      </c>
      <c r="W51" s="7">
        <v>903656.27200000302</v>
      </c>
      <c r="X51" s="7">
        <v>5115974.7839999897</v>
      </c>
      <c r="Y51" s="7">
        <v>941181.66399999894</v>
      </c>
      <c r="Z51" s="7">
        <v>118104.576</v>
      </c>
      <c r="AA51" s="7">
        <v>639024.304</v>
      </c>
      <c r="AB51" s="11">
        <f t="shared" si="0"/>
        <v>206882373</v>
      </c>
    </row>
    <row r="52" spans="1:28" x14ac:dyDescent="0.25">
      <c r="A52" t="str">
        <f t="shared" si="1"/>
        <v>Waihou-Piako</v>
      </c>
      <c r="B52" t="str">
        <f t="shared" si="1"/>
        <v>farm-plan-only</v>
      </c>
      <c r="C52">
        <v>6</v>
      </c>
      <c r="D52" s="11">
        <v>1334959662</v>
      </c>
      <c r="E52" s="11">
        <v>1131531268</v>
      </c>
      <c r="F52" s="11">
        <v>431604170</v>
      </c>
      <c r="G52" s="7">
        <v>1138</v>
      </c>
      <c r="H52" s="7">
        <v>683</v>
      </c>
      <c r="I52" s="7">
        <v>4162</v>
      </c>
      <c r="J52" s="7">
        <v>1130</v>
      </c>
      <c r="K52" s="7">
        <v>10710</v>
      </c>
      <c r="L52" s="7">
        <v>7678</v>
      </c>
      <c r="M52" s="7">
        <v>10442</v>
      </c>
      <c r="N52" s="7">
        <v>10710</v>
      </c>
      <c r="O52" s="9">
        <v>0.10630000000000001</v>
      </c>
      <c r="P52" s="9">
        <v>8.8999999999999996E-2</v>
      </c>
      <c r="Q52" s="9">
        <v>0.39860000000000001</v>
      </c>
      <c r="R52" s="9">
        <v>0.1055</v>
      </c>
      <c r="S52" s="7">
        <v>268</v>
      </c>
      <c r="T52" s="7">
        <v>7678</v>
      </c>
      <c r="U52" s="7">
        <v>2709</v>
      </c>
      <c r="V52" s="7">
        <v>2764</v>
      </c>
      <c r="W52" s="7">
        <v>856034.78399999999</v>
      </c>
      <c r="X52" s="7">
        <v>5052633.7439999897</v>
      </c>
      <c r="Y52" s="7">
        <v>898419.63199999998</v>
      </c>
      <c r="Z52" s="7">
        <v>115911.28</v>
      </c>
      <c r="AA52" s="7">
        <v>628223.95200000005</v>
      </c>
      <c r="AB52" s="11">
        <f t="shared" si="0"/>
        <v>203428394</v>
      </c>
    </row>
    <row r="53" spans="1:28" x14ac:dyDescent="0.25">
      <c r="A53" t="str">
        <f t="shared" si="1"/>
        <v>Waihou-Piako</v>
      </c>
      <c r="B53" t="str">
        <f t="shared" si="1"/>
        <v>farm-plan-only</v>
      </c>
      <c r="C53">
        <v>7</v>
      </c>
      <c r="D53" s="11">
        <v>1326141750</v>
      </c>
      <c r="E53" s="11">
        <v>1122631766</v>
      </c>
      <c r="F53" s="11">
        <v>422322635</v>
      </c>
      <c r="G53" s="7">
        <v>1134</v>
      </c>
      <c r="H53" s="7">
        <v>670</v>
      </c>
      <c r="I53" s="7">
        <v>4413</v>
      </c>
      <c r="J53" s="7">
        <v>1113</v>
      </c>
      <c r="K53" s="7">
        <v>10574</v>
      </c>
      <c r="L53" s="7">
        <v>7511</v>
      </c>
      <c r="M53" s="7">
        <v>10272</v>
      </c>
      <c r="N53" s="7">
        <v>10574</v>
      </c>
      <c r="O53" s="9">
        <v>0.1072</v>
      </c>
      <c r="P53" s="9">
        <v>8.9200000000000002E-2</v>
      </c>
      <c r="Q53" s="9">
        <v>0.42959999999999998</v>
      </c>
      <c r="R53" s="9">
        <v>0.1053</v>
      </c>
      <c r="S53" s="7">
        <v>302</v>
      </c>
      <c r="T53" s="7">
        <v>7511</v>
      </c>
      <c r="U53" s="7">
        <v>2845</v>
      </c>
      <c r="V53" s="7">
        <v>2761</v>
      </c>
      <c r="W53" s="7">
        <v>771334.65600000101</v>
      </c>
      <c r="X53" s="7">
        <v>4958374.8480000002</v>
      </c>
      <c r="Y53" s="7">
        <v>865363.77599999902</v>
      </c>
      <c r="Z53" s="7">
        <v>113576.208</v>
      </c>
      <c r="AA53" s="7">
        <v>615195.15199999895</v>
      </c>
      <c r="AB53" s="11">
        <f t="shared" si="0"/>
        <v>203509984</v>
      </c>
    </row>
    <row r="54" spans="1:28" x14ac:dyDescent="0.25">
      <c r="A54" t="str">
        <f t="shared" si="1"/>
        <v>Waihou-Piako</v>
      </c>
      <c r="B54" t="str">
        <f t="shared" si="1"/>
        <v>farm-plan-only</v>
      </c>
      <c r="C54">
        <v>8</v>
      </c>
      <c r="D54" s="11">
        <v>1314150388</v>
      </c>
      <c r="E54" s="11">
        <v>1112712804</v>
      </c>
      <c r="F54" s="11">
        <v>415746819</v>
      </c>
      <c r="G54" s="7">
        <v>1111</v>
      </c>
      <c r="H54" s="7">
        <v>663</v>
      </c>
      <c r="I54" s="7">
        <v>4720</v>
      </c>
      <c r="J54" s="7">
        <v>1073</v>
      </c>
      <c r="K54" s="7">
        <v>10426</v>
      </c>
      <c r="L54" s="7">
        <v>7338</v>
      </c>
      <c r="M54" s="7">
        <v>10092</v>
      </c>
      <c r="N54" s="7">
        <v>10426</v>
      </c>
      <c r="O54" s="9">
        <v>0.1066</v>
      </c>
      <c r="P54" s="9">
        <v>9.0399999999999994E-2</v>
      </c>
      <c r="Q54" s="9">
        <v>0.4677</v>
      </c>
      <c r="R54" s="9">
        <v>0.10290000000000001</v>
      </c>
      <c r="S54" s="7">
        <v>334</v>
      </c>
      <c r="T54" s="7">
        <v>7338</v>
      </c>
      <c r="U54" s="7">
        <v>2993</v>
      </c>
      <c r="V54" s="7">
        <v>2754</v>
      </c>
      <c r="W54" s="7">
        <v>715915.66399999696</v>
      </c>
      <c r="X54" s="7">
        <v>4879633.7280000001</v>
      </c>
      <c r="Y54" s="7">
        <v>839265.37600000005</v>
      </c>
      <c r="Z54" s="7">
        <v>111557.36</v>
      </c>
      <c r="AA54" s="7">
        <v>604974.97600000002</v>
      </c>
      <c r="AB54" s="11">
        <f t="shared" si="0"/>
        <v>201437584</v>
      </c>
    </row>
    <row r="55" spans="1:28" x14ac:dyDescent="0.25">
      <c r="A55" t="str">
        <f t="shared" si="1"/>
        <v>Waihou-Piako</v>
      </c>
      <c r="B55" t="str">
        <f t="shared" si="1"/>
        <v>farm-plan-only</v>
      </c>
      <c r="C55">
        <v>9</v>
      </c>
      <c r="D55" s="11">
        <v>1302792439</v>
      </c>
      <c r="E55" s="11">
        <v>1102132359</v>
      </c>
      <c r="F55" s="11">
        <v>394408716</v>
      </c>
      <c r="G55" s="7">
        <v>1097</v>
      </c>
      <c r="H55" s="7">
        <v>653</v>
      </c>
      <c r="I55" s="7">
        <v>4933</v>
      </c>
      <c r="J55" s="7">
        <v>1037</v>
      </c>
      <c r="K55" s="7">
        <v>10231</v>
      </c>
      <c r="L55" s="7">
        <v>7102</v>
      </c>
      <c r="M55" s="7">
        <v>9858</v>
      </c>
      <c r="N55" s="7">
        <v>10231</v>
      </c>
      <c r="O55" s="9">
        <v>0.1072</v>
      </c>
      <c r="P55" s="9">
        <v>9.1899999999999996E-2</v>
      </c>
      <c r="Q55" s="9">
        <v>0.50039999999999996</v>
      </c>
      <c r="R55" s="9">
        <v>0.1014</v>
      </c>
      <c r="S55" s="7">
        <v>373</v>
      </c>
      <c r="T55" s="7">
        <v>7102</v>
      </c>
      <c r="U55" s="7">
        <v>3188</v>
      </c>
      <c r="V55" s="7">
        <v>2756</v>
      </c>
      <c r="W55" s="7">
        <v>657093.10400000098</v>
      </c>
      <c r="X55" s="7">
        <v>4800049.2479999699</v>
      </c>
      <c r="Y55" s="7">
        <v>816063.35999999696</v>
      </c>
      <c r="Z55" s="7">
        <v>109681.776</v>
      </c>
      <c r="AA55" s="7">
        <v>592861.64800000098</v>
      </c>
      <c r="AB55" s="11">
        <f t="shared" si="0"/>
        <v>200660080</v>
      </c>
    </row>
    <row r="56" spans="1:28" x14ac:dyDescent="0.25">
      <c r="A56" s="5" t="str">
        <f t="shared" si="1"/>
        <v>Waihou-Piako</v>
      </c>
      <c r="B56" s="5" t="str">
        <f t="shared" si="1"/>
        <v>farm-plan-only</v>
      </c>
      <c r="C56" s="5">
        <v>10</v>
      </c>
      <c r="D56" s="12">
        <v>1284836826</v>
      </c>
      <c r="E56" s="12">
        <v>1087285476</v>
      </c>
      <c r="F56" s="12">
        <v>396047667</v>
      </c>
      <c r="G56" s="8">
        <v>1073</v>
      </c>
      <c r="H56" s="8">
        <v>635</v>
      </c>
      <c r="I56" s="8">
        <v>5148</v>
      </c>
      <c r="J56" s="8">
        <v>1034</v>
      </c>
      <c r="K56" s="8">
        <v>10060</v>
      </c>
      <c r="L56" s="8">
        <v>6991</v>
      </c>
      <c r="M56" s="8">
        <v>9675</v>
      </c>
      <c r="N56" s="8">
        <v>10060</v>
      </c>
      <c r="O56" s="10">
        <v>0.1067</v>
      </c>
      <c r="P56" s="10">
        <v>9.0800000000000006E-2</v>
      </c>
      <c r="Q56" s="10">
        <v>0.53210000000000002</v>
      </c>
      <c r="R56" s="10">
        <v>0.1028</v>
      </c>
      <c r="S56" s="8">
        <v>385</v>
      </c>
      <c r="T56" s="8">
        <v>6991</v>
      </c>
      <c r="U56" s="8">
        <v>3359</v>
      </c>
      <c r="V56" s="8">
        <v>2684</v>
      </c>
      <c r="W56" s="8">
        <v>580118.06399999897</v>
      </c>
      <c r="X56" s="8">
        <v>4699209.5359999901</v>
      </c>
      <c r="Y56" s="8">
        <v>801400.36799999897</v>
      </c>
      <c r="Z56" s="8">
        <v>107314.208</v>
      </c>
      <c r="AA56" s="8">
        <v>579644.91200000094</v>
      </c>
      <c r="AB56" s="12">
        <f t="shared" si="0"/>
        <v>197551350</v>
      </c>
    </row>
    <row r="57" spans="1:28" x14ac:dyDescent="0.25">
      <c r="A57" t="str">
        <f t="shared" si="1"/>
        <v>Waihou-Piako</v>
      </c>
      <c r="B57" t="str">
        <f>Scenario!G2</f>
        <v>all-profit-farmers</v>
      </c>
      <c r="C57">
        <v>0</v>
      </c>
      <c r="D57" s="11">
        <v>1414664765</v>
      </c>
      <c r="E57" s="11">
        <v>1196543938</v>
      </c>
      <c r="F57" s="11">
        <v>413244508</v>
      </c>
      <c r="G57" s="7">
        <v>1332</v>
      </c>
      <c r="H57" s="7">
        <v>840</v>
      </c>
      <c r="I57" s="7">
        <v>1219</v>
      </c>
      <c r="J57" s="7">
        <v>1267</v>
      </c>
      <c r="K57" s="7">
        <v>12351</v>
      </c>
      <c r="L57" s="7">
        <v>9078</v>
      </c>
      <c r="M57" s="7">
        <v>12167</v>
      </c>
      <c r="N57" s="7">
        <v>12351</v>
      </c>
      <c r="O57" s="9">
        <v>0.10780000000000001</v>
      </c>
      <c r="P57" s="9">
        <v>9.2499999999999999E-2</v>
      </c>
      <c r="Q57" s="9">
        <v>0.1002</v>
      </c>
      <c r="R57" s="9">
        <v>0.1026</v>
      </c>
      <c r="S57" s="7">
        <v>184</v>
      </c>
      <c r="T57" s="7">
        <v>9078</v>
      </c>
      <c r="U57" s="7">
        <v>1068</v>
      </c>
      <c r="V57" s="7">
        <v>3089</v>
      </c>
      <c r="W57" s="7">
        <v>1379504.32</v>
      </c>
      <c r="X57" s="7">
        <v>5738137.5199999996</v>
      </c>
      <c r="Y57" s="7">
        <v>1133321.15199999</v>
      </c>
      <c r="Z57" s="7">
        <v>133573.856</v>
      </c>
      <c r="AA57" s="7">
        <v>724425.82399999897</v>
      </c>
      <c r="AB57" s="11">
        <f t="shared" si="0"/>
        <v>218120827</v>
      </c>
    </row>
    <row r="58" spans="1:28" x14ac:dyDescent="0.25">
      <c r="A58" t="str">
        <f t="shared" si="1"/>
        <v>Waihou-Piako</v>
      </c>
      <c r="B58" t="str">
        <f>B57</f>
        <v>all-profit-farmers</v>
      </c>
      <c r="C58">
        <v>1</v>
      </c>
      <c r="D58" s="11">
        <v>1414355374</v>
      </c>
      <c r="E58" s="11">
        <v>1195580426</v>
      </c>
      <c r="F58" s="11">
        <v>543151623</v>
      </c>
      <c r="G58" s="7">
        <v>1758</v>
      </c>
      <c r="H58" s="7">
        <v>1263</v>
      </c>
      <c r="I58" s="7">
        <v>1651</v>
      </c>
      <c r="J58" s="7">
        <v>1746</v>
      </c>
      <c r="K58" s="7">
        <v>11986</v>
      </c>
      <c r="L58" s="7">
        <v>8732</v>
      </c>
      <c r="M58" s="7">
        <v>11780</v>
      </c>
      <c r="N58" s="7">
        <v>11986</v>
      </c>
      <c r="O58" s="9">
        <v>0.1467</v>
      </c>
      <c r="P58" s="9">
        <v>0.14460000000000001</v>
      </c>
      <c r="Q58" s="9">
        <v>0.14019999999999999</v>
      </c>
      <c r="R58" s="9">
        <v>0.1457</v>
      </c>
      <c r="S58" s="7">
        <v>206</v>
      </c>
      <c r="T58" s="7">
        <v>8732</v>
      </c>
      <c r="U58" s="7">
        <v>1433</v>
      </c>
      <c r="V58" s="7">
        <v>3048</v>
      </c>
      <c r="W58" s="7">
        <v>1379442.72</v>
      </c>
      <c r="X58" s="7">
        <v>5738698.1279999902</v>
      </c>
      <c r="Y58" s="7">
        <v>1133888.912</v>
      </c>
      <c r="Z58" s="7">
        <v>133519.21599999999</v>
      </c>
      <c r="AA58" s="7">
        <v>724125.34400000004</v>
      </c>
      <c r="AB58" s="11">
        <f t="shared" si="0"/>
        <v>218774948</v>
      </c>
    </row>
    <row r="59" spans="1:28" x14ac:dyDescent="0.25">
      <c r="A59" t="str">
        <f t="shared" si="1"/>
        <v>Waihou-Piako</v>
      </c>
      <c r="B59" t="str">
        <f t="shared" si="1"/>
        <v>all-profit-farmers</v>
      </c>
      <c r="C59">
        <v>2</v>
      </c>
      <c r="D59" s="11">
        <v>1389007200</v>
      </c>
      <c r="E59" s="11">
        <v>1176464310</v>
      </c>
      <c r="F59" s="11">
        <v>521062944</v>
      </c>
      <c r="G59" s="7">
        <v>2334</v>
      </c>
      <c r="H59" s="7">
        <v>1571</v>
      </c>
      <c r="I59" s="7">
        <v>2204</v>
      </c>
      <c r="J59" s="7">
        <v>2152</v>
      </c>
      <c r="K59" s="7">
        <v>11702</v>
      </c>
      <c r="L59" s="7">
        <v>8431</v>
      </c>
      <c r="M59" s="7">
        <v>11462</v>
      </c>
      <c r="N59" s="7">
        <v>11702</v>
      </c>
      <c r="O59" s="9">
        <v>0.19950000000000001</v>
      </c>
      <c r="P59" s="9">
        <v>0.18629999999999999</v>
      </c>
      <c r="Q59" s="9">
        <v>0.1923</v>
      </c>
      <c r="R59" s="9">
        <v>0.18390000000000001</v>
      </c>
      <c r="S59" s="7">
        <v>240</v>
      </c>
      <c r="T59" s="7">
        <v>8431</v>
      </c>
      <c r="U59" s="7">
        <v>1717</v>
      </c>
      <c r="V59" s="7">
        <v>3031</v>
      </c>
      <c r="W59" s="7">
        <v>1236302.192</v>
      </c>
      <c r="X59" s="7">
        <v>5390719.3119999804</v>
      </c>
      <c r="Y59" s="7">
        <v>1037272.8</v>
      </c>
      <c r="Z59" s="7">
        <v>123488.416</v>
      </c>
      <c r="AA59" s="7">
        <v>652778.65599999903</v>
      </c>
      <c r="AB59" s="11">
        <f t="shared" si="0"/>
        <v>212542890</v>
      </c>
    </row>
    <row r="60" spans="1:28" x14ac:dyDescent="0.25">
      <c r="A60" t="str">
        <f t="shared" si="1"/>
        <v>Waihou-Piako</v>
      </c>
      <c r="B60" t="str">
        <f t="shared" si="1"/>
        <v>all-profit-farmers</v>
      </c>
      <c r="C60">
        <v>3</v>
      </c>
      <c r="D60" s="11">
        <v>1365028283</v>
      </c>
      <c r="E60" s="11">
        <v>1159364255</v>
      </c>
      <c r="F60" s="11">
        <v>453163136</v>
      </c>
      <c r="G60" s="7">
        <v>2808</v>
      </c>
      <c r="H60" s="7">
        <v>1925</v>
      </c>
      <c r="I60" s="7">
        <v>2687</v>
      </c>
      <c r="J60" s="7">
        <v>2546</v>
      </c>
      <c r="K60" s="7">
        <v>11459</v>
      </c>
      <c r="L60" s="7">
        <v>8237</v>
      </c>
      <c r="M60" s="7">
        <v>11203</v>
      </c>
      <c r="N60" s="7">
        <v>11459</v>
      </c>
      <c r="O60" s="9">
        <v>0.245</v>
      </c>
      <c r="P60" s="9">
        <v>0.23369999999999999</v>
      </c>
      <c r="Q60" s="9">
        <v>0.23980000000000001</v>
      </c>
      <c r="R60" s="9">
        <v>0.22220000000000001</v>
      </c>
      <c r="S60" s="7">
        <v>256</v>
      </c>
      <c r="T60" s="7">
        <v>8237</v>
      </c>
      <c r="U60" s="7">
        <v>1960</v>
      </c>
      <c r="V60" s="7">
        <v>2966</v>
      </c>
      <c r="W60" s="7">
        <v>1116589.4719999901</v>
      </c>
      <c r="X60" s="7">
        <v>5088712.0640000002</v>
      </c>
      <c r="Y60" s="7">
        <v>935016.20800000103</v>
      </c>
      <c r="Z60" s="7">
        <v>113914.048</v>
      </c>
      <c r="AA60" s="7">
        <v>589529.24800000002</v>
      </c>
      <c r="AB60" s="11">
        <f t="shared" si="0"/>
        <v>205664028</v>
      </c>
    </row>
    <row r="61" spans="1:28" x14ac:dyDescent="0.25">
      <c r="A61" t="str">
        <f t="shared" si="1"/>
        <v>Waihou-Piako</v>
      </c>
      <c r="B61" t="str">
        <f t="shared" si="1"/>
        <v>all-profit-farmers</v>
      </c>
      <c r="C61">
        <v>4</v>
      </c>
      <c r="D61" s="11">
        <v>1350541181</v>
      </c>
      <c r="E61" s="11">
        <v>1148922067</v>
      </c>
      <c r="F61" s="11">
        <v>405165436</v>
      </c>
      <c r="G61" s="7">
        <v>3172</v>
      </c>
      <c r="H61" s="7">
        <v>2245</v>
      </c>
      <c r="I61" s="7">
        <v>3110</v>
      </c>
      <c r="J61" s="7">
        <v>2977</v>
      </c>
      <c r="K61" s="7">
        <v>11287</v>
      </c>
      <c r="L61" s="7">
        <v>8018</v>
      </c>
      <c r="M61" s="7">
        <v>11003</v>
      </c>
      <c r="N61" s="7">
        <v>11287</v>
      </c>
      <c r="O61" s="9">
        <v>0.28100000000000003</v>
      </c>
      <c r="P61" s="9">
        <v>0.28000000000000003</v>
      </c>
      <c r="Q61" s="9">
        <v>0.28270000000000001</v>
      </c>
      <c r="R61" s="9">
        <v>0.26379999999999998</v>
      </c>
      <c r="S61" s="7">
        <v>284</v>
      </c>
      <c r="T61" s="7">
        <v>8018</v>
      </c>
      <c r="U61" s="7">
        <v>2132</v>
      </c>
      <c r="V61" s="7">
        <v>2985</v>
      </c>
      <c r="W61" s="7">
        <v>1019234.768</v>
      </c>
      <c r="X61" s="7">
        <v>4846405.4079999998</v>
      </c>
      <c r="Y61" s="7">
        <v>837834.38399999903</v>
      </c>
      <c r="Z61" s="7">
        <v>105948.08</v>
      </c>
      <c r="AA61" s="7">
        <v>533922.25600000005</v>
      </c>
      <c r="AB61" s="11">
        <f t="shared" si="0"/>
        <v>201619114</v>
      </c>
    </row>
    <row r="62" spans="1:28" x14ac:dyDescent="0.25">
      <c r="A62" t="str">
        <f t="shared" si="1"/>
        <v>Waihou-Piako</v>
      </c>
      <c r="B62" t="str">
        <f t="shared" si="1"/>
        <v>all-profit-farmers</v>
      </c>
      <c r="C62">
        <v>5</v>
      </c>
      <c r="D62" s="11">
        <v>1332254399</v>
      </c>
      <c r="E62" s="11">
        <v>1134835272</v>
      </c>
      <c r="F62" s="11">
        <v>383914387</v>
      </c>
      <c r="G62" s="7">
        <v>3562</v>
      </c>
      <c r="H62" s="7">
        <v>2509</v>
      </c>
      <c r="I62" s="7">
        <v>3427</v>
      </c>
      <c r="J62" s="7">
        <v>3329</v>
      </c>
      <c r="K62" s="7">
        <v>11056</v>
      </c>
      <c r="L62" s="7">
        <v>7821</v>
      </c>
      <c r="M62" s="7">
        <v>10758</v>
      </c>
      <c r="N62" s="7">
        <v>11056</v>
      </c>
      <c r="O62" s="9">
        <v>0.32219999999999999</v>
      </c>
      <c r="P62" s="9">
        <v>0.32079999999999997</v>
      </c>
      <c r="Q62" s="9">
        <v>0.31859999999999999</v>
      </c>
      <c r="R62" s="9">
        <v>0.30109999999999998</v>
      </c>
      <c r="S62" s="7">
        <v>298</v>
      </c>
      <c r="T62" s="7">
        <v>7821</v>
      </c>
      <c r="U62" s="7">
        <v>2363</v>
      </c>
      <c r="V62" s="7">
        <v>2937</v>
      </c>
      <c r="W62" s="7">
        <v>941269.69599999895</v>
      </c>
      <c r="X62" s="7">
        <v>4601666.8480000002</v>
      </c>
      <c r="Y62" s="7">
        <v>770666.91200000094</v>
      </c>
      <c r="Z62" s="7">
        <v>99005.983999999895</v>
      </c>
      <c r="AA62" s="7">
        <v>488600.67199999897</v>
      </c>
      <c r="AB62" s="11">
        <f t="shared" si="0"/>
        <v>197419127</v>
      </c>
    </row>
    <row r="63" spans="1:28" x14ac:dyDescent="0.25">
      <c r="A63" t="str">
        <f t="shared" si="1"/>
        <v>Waihou-Piako</v>
      </c>
      <c r="B63" t="str">
        <f t="shared" si="1"/>
        <v>all-profit-farmers</v>
      </c>
      <c r="C63">
        <v>6</v>
      </c>
      <c r="D63" s="11">
        <v>1318593975</v>
      </c>
      <c r="E63" s="11">
        <v>1124946904</v>
      </c>
      <c r="F63" s="11">
        <v>365419894</v>
      </c>
      <c r="G63" s="7">
        <v>3854</v>
      </c>
      <c r="H63" s="7">
        <v>2704</v>
      </c>
      <c r="I63" s="7">
        <v>3869</v>
      </c>
      <c r="J63" s="7">
        <v>3673</v>
      </c>
      <c r="K63" s="7">
        <v>10897</v>
      </c>
      <c r="L63" s="7">
        <v>7685</v>
      </c>
      <c r="M63" s="7">
        <v>10575</v>
      </c>
      <c r="N63" s="7">
        <v>10897</v>
      </c>
      <c r="O63" s="9">
        <v>0.35370000000000001</v>
      </c>
      <c r="P63" s="9">
        <v>0.35189999999999999</v>
      </c>
      <c r="Q63" s="9">
        <v>0.3659</v>
      </c>
      <c r="R63" s="9">
        <v>0.33710000000000001</v>
      </c>
      <c r="S63" s="7">
        <v>322</v>
      </c>
      <c r="T63" s="7">
        <v>7685</v>
      </c>
      <c r="U63" s="7">
        <v>2522</v>
      </c>
      <c r="V63" s="7">
        <v>2890</v>
      </c>
      <c r="W63" s="7">
        <v>852324.495999999</v>
      </c>
      <c r="X63" s="7">
        <v>4375992.7679999899</v>
      </c>
      <c r="Y63" s="7">
        <v>712583.29599999799</v>
      </c>
      <c r="Z63" s="7">
        <v>92762.608000000298</v>
      </c>
      <c r="AA63" s="7">
        <v>445400.76799999998</v>
      </c>
      <c r="AB63" s="11">
        <f t="shared" si="0"/>
        <v>193647071</v>
      </c>
    </row>
    <row r="64" spans="1:28" x14ac:dyDescent="0.25">
      <c r="A64" t="str">
        <f t="shared" si="1"/>
        <v>Waihou-Piako</v>
      </c>
      <c r="B64" t="str">
        <f t="shared" si="1"/>
        <v>all-profit-farmers</v>
      </c>
      <c r="C64">
        <v>7</v>
      </c>
      <c r="D64" s="11">
        <v>1307207058</v>
      </c>
      <c r="E64" s="11">
        <v>1117930092</v>
      </c>
      <c r="F64" s="11">
        <v>367059600</v>
      </c>
      <c r="G64" s="7">
        <v>4119</v>
      </c>
      <c r="H64" s="7">
        <v>2930</v>
      </c>
      <c r="I64" s="7">
        <v>4206</v>
      </c>
      <c r="J64" s="7">
        <v>3993</v>
      </c>
      <c r="K64" s="7">
        <v>10728</v>
      </c>
      <c r="L64" s="7">
        <v>7504</v>
      </c>
      <c r="M64" s="7">
        <v>10388</v>
      </c>
      <c r="N64" s="7">
        <v>10728</v>
      </c>
      <c r="O64" s="9">
        <v>0.38390000000000002</v>
      </c>
      <c r="P64" s="9">
        <v>0.39050000000000001</v>
      </c>
      <c r="Q64" s="9">
        <v>0.40489999999999998</v>
      </c>
      <c r="R64" s="9">
        <v>0.37219999999999998</v>
      </c>
      <c r="S64" s="7">
        <v>340</v>
      </c>
      <c r="T64" s="7">
        <v>7504</v>
      </c>
      <c r="U64" s="7">
        <v>2691</v>
      </c>
      <c r="V64" s="7">
        <v>2884</v>
      </c>
      <c r="W64" s="7">
        <v>786825.82400000002</v>
      </c>
      <c r="X64" s="7">
        <v>4189261.4879999901</v>
      </c>
      <c r="Y64" s="7">
        <v>645375.82400000002</v>
      </c>
      <c r="Z64" s="7">
        <v>87201.488000000099</v>
      </c>
      <c r="AA64" s="7">
        <v>411491.023999998</v>
      </c>
      <c r="AB64" s="11">
        <f t="shared" si="0"/>
        <v>189276966</v>
      </c>
    </row>
    <row r="65" spans="1:28" x14ac:dyDescent="0.25">
      <c r="A65" t="str">
        <f t="shared" si="1"/>
        <v>Waihou-Piako</v>
      </c>
      <c r="B65" t="str">
        <f t="shared" si="1"/>
        <v>all-profit-farmers</v>
      </c>
      <c r="C65">
        <v>8</v>
      </c>
      <c r="D65" s="11">
        <v>1293276477</v>
      </c>
      <c r="E65" s="11">
        <v>1106560859</v>
      </c>
      <c r="F65" s="11">
        <v>396780048</v>
      </c>
      <c r="G65" s="7">
        <v>4424</v>
      </c>
      <c r="H65" s="7">
        <v>3052</v>
      </c>
      <c r="I65" s="7">
        <v>4578</v>
      </c>
      <c r="J65" s="7">
        <v>4350</v>
      </c>
      <c r="K65" s="7">
        <v>10587</v>
      </c>
      <c r="L65" s="7">
        <v>7366</v>
      </c>
      <c r="M65" s="7">
        <v>10235</v>
      </c>
      <c r="N65" s="7">
        <v>10587</v>
      </c>
      <c r="O65" s="9">
        <v>0.41789999999999999</v>
      </c>
      <c r="P65" s="9">
        <v>0.4143</v>
      </c>
      <c r="Q65" s="9">
        <v>0.44729999999999998</v>
      </c>
      <c r="R65" s="9">
        <v>0.41089999999999999</v>
      </c>
      <c r="S65" s="7">
        <v>352</v>
      </c>
      <c r="T65" s="7">
        <v>7366</v>
      </c>
      <c r="U65" s="7">
        <v>2832</v>
      </c>
      <c r="V65" s="7">
        <v>2869</v>
      </c>
      <c r="W65" s="7">
        <v>716993.45599999896</v>
      </c>
      <c r="X65" s="7">
        <v>4007790.4639999899</v>
      </c>
      <c r="Y65" s="7">
        <v>599105.58399999898</v>
      </c>
      <c r="Z65" s="7">
        <v>82581.456000000006</v>
      </c>
      <c r="AA65" s="7">
        <v>382134.223999999</v>
      </c>
      <c r="AB65" s="11">
        <f t="shared" si="0"/>
        <v>186715618</v>
      </c>
    </row>
    <row r="66" spans="1:28" x14ac:dyDescent="0.25">
      <c r="A66" t="str">
        <f t="shared" si="1"/>
        <v>Waihou-Piako</v>
      </c>
      <c r="B66" t="str">
        <f t="shared" si="1"/>
        <v>all-profit-farmers</v>
      </c>
      <c r="C66">
        <v>9</v>
      </c>
      <c r="D66" s="11">
        <v>1282346896</v>
      </c>
      <c r="E66" s="11">
        <v>1099652152</v>
      </c>
      <c r="F66" s="11">
        <v>405853068</v>
      </c>
      <c r="G66" s="7">
        <v>4620</v>
      </c>
      <c r="H66" s="7">
        <v>3208</v>
      </c>
      <c r="I66" s="7">
        <v>4822</v>
      </c>
      <c r="J66" s="7">
        <v>4614</v>
      </c>
      <c r="K66" s="7">
        <v>10361</v>
      </c>
      <c r="L66" s="7">
        <v>7186</v>
      </c>
      <c r="M66" s="7">
        <v>9990</v>
      </c>
      <c r="N66" s="7">
        <v>10361</v>
      </c>
      <c r="O66" s="9">
        <v>0.44590000000000002</v>
      </c>
      <c r="P66" s="9">
        <v>0.44640000000000002</v>
      </c>
      <c r="Q66" s="9">
        <v>0.48270000000000002</v>
      </c>
      <c r="R66" s="9">
        <v>0.44529999999999997</v>
      </c>
      <c r="S66" s="7">
        <v>371</v>
      </c>
      <c r="T66" s="7">
        <v>7186</v>
      </c>
      <c r="U66" s="7">
        <v>3058</v>
      </c>
      <c r="V66" s="7">
        <v>2804</v>
      </c>
      <c r="W66" s="7">
        <v>658835.728</v>
      </c>
      <c r="X66" s="7">
        <v>3841019.8559999899</v>
      </c>
      <c r="Y66" s="7">
        <v>549144.751999998</v>
      </c>
      <c r="Z66" s="7">
        <v>77685.967999999993</v>
      </c>
      <c r="AA66" s="7">
        <v>352924.96</v>
      </c>
      <c r="AB66" s="11">
        <f t="shared" si="0"/>
        <v>182694744</v>
      </c>
    </row>
    <row r="67" spans="1:28" x14ac:dyDescent="0.25">
      <c r="A67" s="5" t="str">
        <f t="shared" si="1"/>
        <v>Waihou-Piako</v>
      </c>
      <c r="B67" s="5" t="str">
        <f t="shared" si="1"/>
        <v>all-profit-farmers</v>
      </c>
      <c r="C67" s="5">
        <v>10</v>
      </c>
      <c r="D67" s="12">
        <v>1271084613</v>
      </c>
      <c r="E67" s="12">
        <v>1090421511</v>
      </c>
      <c r="F67" s="12">
        <v>382298461</v>
      </c>
      <c r="G67" s="8">
        <v>4813</v>
      </c>
      <c r="H67" s="8">
        <v>3400</v>
      </c>
      <c r="I67" s="8">
        <v>5072</v>
      </c>
      <c r="J67" s="8">
        <v>4929</v>
      </c>
      <c r="K67" s="8">
        <v>10157</v>
      </c>
      <c r="L67" s="8">
        <v>7046</v>
      </c>
      <c r="M67" s="8">
        <v>9781</v>
      </c>
      <c r="N67" s="8">
        <v>10157</v>
      </c>
      <c r="O67" s="10">
        <v>0.47389999999999999</v>
      </c>
      <c r="P67" s="10">
        <v>0.48249999999999998</v>
      </c>
      <c r="Q67" s="10">
        <v>0.51859999999999995</v>
      </c>
      <c r="R67" s="10">
        <v>0.48530000000000001</v>
      </c>
      <c r="S67" s="8">
        <v>376</v>
      </c>
      <c r="T67" s="8">
        <v>7046</v>
      </c>
      <c r="U67" s="8">
        <v>3262</v>
      </c>
      <c r="V67" s="8">
        <v>2735</v>
      </c>
      <c r="W67" s="8">
        <v>572735.02399999695</v>
      </c>
      <c r="X67" s="8">
        <v>3659363.088</v>
      </c>
      <c r="Y67" s="8">
        <v>515324.95999999897</v>
      </c>
      <c r="Z67" s="8">
        <v>73603.615999999995</v>
      </c>
      <c r="AA67" s="8">
        <v>326201.21600000001</v>
      </c>
      <c r="AB67" s="12">
        <f t="shared" ref="AB67:AB111" si="4">D67-E67</f>
        <v>180663102</v>
      </c>
    </row>
    <row r="68" spans="1:28" x14ac:dyDescent="0.25">
      <c r="A68" t="str">
        <f t="shared" ref="A68:B131" si="5">A67</f>
        <v>Waihou-Piako</v>
      </c>
      <c r="B68" t="str">
        <f>Scenario!H2</f>
        <v>all-enviro-farmers</v>
      </c>
      <c r="C68">
        <v>0</v>
      </c>
      <c r="D68" s="11">
        <v>1414664765</v>
      </c>
      <c r="E68" s="11">
        <v>1196543938</v>
      </c>
      <c r="F68" s="11">
        <v>413244508</v>
      </c>
      <c r="G68" s="7">
        <v>1332</v>
      </c>
      <c r="H68" s="7">
        <v>840</v>
      </c>
      <c r="I68" s="7">
        <v>1219</v>
      </c>
      <c r="J68" s="7">
        <v>1267</v>
      </c>
      <c r="K68" s="7">
        <v>12351</v>
      </c>
      <c r="L68" s="7">
        <v>9078</v>
      </c>
      <c r="M68" s="7">
        <v>12167</v>
      </c>
      <c r="N68" s="7">
        <v>12351</v>
      </c>
      <c r="O68" s="9">
        <v>0.10780000000000001</v>
      </c>
      <c r="P68" s="9">
        <v>9.2499999999999999E-2</v>
      </c>
      <c r="Q68" s="9">
        <v>0.1002</v>
      </c>
      <c r="R68" s="9">
        <v>0.1026</v>
      </c>
      <c r="S68" s="7">
        <v>184</v>
      </c>
      <c r="T68" s="7">
        <v>9078</v>
      </c>
      <c r="U68" s="7">
        <v>1068</v>
      </c>
      <c r="V68" s="7">
        <v>3089</v>
      </c>
      <c r="W68" s="7">
        <v>1379504.32</v>
      </c>
      <c r="X68" s="7">
        <v>5738137.5199999996</v>
      </c>
      <c r="Y68" s="7">
        <v>1133321.15199999</v>
      </c>
      <c r="Z68" s="7">
        <v>133573.856</v>
      </c>
      <c r="AA68" s="7">
        <v>724425.82399999897</v>
      </c>
      <c r="AB68" s="11">
        <f t="shared" si="4"/>
        <v>218120827</v>
      </c>
    </row>
    <row r="69" spans="1:28" x14ac:dyDescent="0.25">
      <c r="A69" t="str">
        <f t="shared" si="5"/>
        <v>Waihou-Piako</v>
      </c>
      <c r="B69" t="str">
        <f>B68</f>
        <v>all-enviro-farmers</v>
      </c>
      <c r="C69">
        <v>1</v>
      </c>
      <c r="D69" s="11">
        <v>1414355374</v>
      </c>
      <c r="E69" s="11">
        <v>1195580426</v>
      </c>
      <c r="F69" s="11">
        <v>517710883</v>
      </c>
      <c r="G69" s="7">
        <v>2249</v>
      </c>
      <c r="H69" s="7">
        <v>1579</v>
      </c>
      <c r="I69" s="7">
        <v>2345</v>
      </c>
      <c r="J69" s="7">
        <v>2125</v>
      </c>
      <c r="K69" s="7">
        <v>11986</v>
      </c>
      <c r="L69" s="7">
        <v>8732</v>
      </c>
      <c r="M69" s="7">
        <v>11780</v>
      </c>
      <c r="N69" s="7">
        <v>11986</v>
      </c>
      <c r="O69" s="9">
        <v>0.18759999999999999</v>
      </c>
      <c r="P69" s="9">
        <v>0.18079999999999999</v>
      </c>
      <c r="Q69" s="9">
        <v>0.1991</v>
      </c>
      <c r="R69" s="9">
        <v>0.17730000000000001</v>
      </c>
      <c r="S69" s="7">
        <v>206</v>
      </c>
      <c r="T69" s="7">
        <v>8732</v>
      </c>
      <c r="U69" s="7">
        <v>1433</v>
      </c>
      <c r="V69" s="7">
        <v>3048</v>
      </c>
      <c r="W69" s="7">
        <v>1379442.71999999</v>
      </c>
      <c r="X69" s="7">
        <v>5738698.1280000098</v>
      </c>
      <c r="Y69" s="7">
        <v>1133888.912</v>
      </c>
      <c r="Z69" s="7">
        <v>133519.215999999</v>
      </c>
      <c r="AA69" s="7">
        <v>724125.34399999899</v>
      </c>
      <c r="AB69" s="11">
        <f t="shared" si="4"/>
        <v>218774948</v>
      </c>
    </row>
    <row r="70" spans="1:28" x14ac:dyDescent="0.25">
      <c r="A70" t="str">
        <f t="shared" si="5"/>
        <v>Waihou-Piako</v>
      </c>
      <c r="B70" t="str">
        <f t="shared" si="5"/>
        <v>all-enviro-farmers</v>
      </c>
      <c r="C70">
        <v>2</v>
      </c>
      <c r="D70" s="11">
        <v>1386718202</v>
      </c>
      <c r="E70" s="11">
        <v>1176641041</v>
      </c>
      <c r="F70" s="11">
        <v>481453846</v>
      </c>
      <c r="G70" s="7">
        <v>3073</v>
      </c>
      <c r="H70" s="7">
        <v>2170</v>
      </c>
      <c r="I70" s="7">
        <v>3243</v>
      </c>
      <c r="J70" s="7">
        <v>2879</v>
      </c>
      <c r="K70" s="7">
        <v>11678</v>
      </c>
      <c r="L70" s="7">
        <v>8455</v>
      </c>
      <c r="M70" s="7">
        <v>11429</v>
      </c>
      <c r="N70" s="7">
        <v>11678</v>
      </c>
      <c r="O70" s="9">
        <v>0.2631</v>
      </c>
      <c r="P70" s="9">
        <v>0.25669999999999998</v>
      </c>
      <c r="Q70" s="9">
        <v>0.2838</v>
      </c>
      <c r="R70" s="9">
        <v>0.2465</v>
      </c>
      <c r="S70" s="7">
        <v>249</v>
      </c>
      <c r="T70" s="7">
        <v>8455</v>
      </c>
      <c r="U70" s="7">
        <v>1741</v>
      </c>
      <c r="V70" s="7">
        <v>2974</v>
      </c>
      <c r="W70" s="7">
        <v>1225231.1040000001</v>
      </c>
      <c r="X70" s="7">
        <v>5267833.2000000104</v>
      </c>
      <c r="Y70" s="7">
        <v>937693.95200000098</v>
      </c>
      <c r="Z70" s="7">
        <v>117140.016</v>
      </c>
      <c r="AA70" s="7">
        <v>610379.88799999899</v>
      </c>
      <c r="AB70" s="11">
        <f t="shared" si="4"/>
        <v>210077161</v>
      </c>
    </row>
    <row r="71" spans="1:28" x14ac:dyDescent="0.25">
      <c r="A71" t="str">
        <f t="shared" si="5"/>
        <v>Waihou-Piako</v>
      </c>
      <c r="B71" t="str">
        <f t="shared" si="5"/>
        <v>all-enviro-farmers</v>
      </c>
      <c r="C71">
        <v>3</v>
      </c>
      <c r="D71" s="11">
        <v>1365438462</v>
      </c>
      <c r="E71" s="11">
        <v>1163056449</v>
      </c>
      <c r="F71" s="11">
        <v>425822184</v>
      </c>
      <c r="G71" s="7">
        <v>3878</v>
      </c>
      <c r="H71" s="7">
        <v>2685</v>
      </c>
      <c r="I71" s="7">
        <v>4253</v>
      </c>
      <c r="J71" s="7">
        <v>3669</v>
      </c>
      <c r="K71" s="7">
        <v>11438</v>
      </c>
      <c r="L71" s="7">
        <v>8279</v>
      </c>
      <c r="M71" s="7">
        <v>11189</v>
      </c>
      <c r="N71" s="7">
        <v>11438</v>
      </c>
      <c r="O71" s="9">
        <v>0.33900000000000002</v>
      </c>
      <c r="P71" s="9">
        <v>0.32429999999999998</v>
      </c>
      <c r="Q71" s="9">
        <v>0.38009999999999999</v>
      </c>
      <c r="R71" s="9">
        <v>0.32079999999999997</v>
      </c>
      <c r="S71" s="7">
        <v>249</v>
      </c>
      <c r="T71" s="7">
        <v>8279</v>
      </c>
      <c r="U71" s="7">
        <v>1981</v>
      </c>
      <c r="V71" s="7">
        <v>2910</v>
      </c>
      <c r="W71" s="7">
        <v>1097751.6639999901</v>
      </c>
      <c r="X71" s="7">
        <v>4885459.5520000001</v>
      </c>
      <c r="Y71" s="7">
        <v>774632.175999998</v>
      </c>
      <c r="Z71" s="7">
        <v>104094.352</v>
      </c>
      <c r="AA71" s="7">
        <v>521889.24799999897</v>
      </c>
      <c r="AB71" s="11">
        <f t="shared" si="4"/>
        <v>202382013</v>
      </c>
    </row>
    <row r="72" spans="1:28" x14ac:dyDescent="0.25">
      <c r="A72" t="str">
        <f t="shared" si="5"/>
        <v>Waihou-Piako</v>
      </c>
      <c r="B72" t="str">
        <f t="shared" si="5"/>
        <v>all-enviro-farmers</v>
      </c>
      <c r="C72">
        <v>4</v>
      </c>
      <c r="D72" s="11">
        <v>1350413046</v>
      </c>
      <c r="E72" s="11">
        <v>1155003237</v>
      </c>
      <c r="F72" s="11">
        <v>380486787</v>
      </c>
      <c r="G72" s="7">
        <v>4642</v>
      </c>
      <c r="H72" s="7">
        <v>3180</v>
      </c>
      <c r="I72" s="7">
        <v>5068</v>
      </c>
      <c r="J72" s="7">
        <v>4551</v>
      </c>
      <c r="K72" s="7">
        <v>11236</v>
      </c>
      <c r="L72" s="7">
        <v>8125</v>
      </c>
      <c r="M72" s="7">
        <v>10986</v>
      </c>
      <c r="N72" s="7">
        <v>11236</v>
      </c>
      <c r="O72" s="9">
        <v>0.41310000000000002</v>
      </c>
      <c r="P72" s="9">
        <v>0.39140000000000003</v>
      </c>
      <c r="Q72" s="9">
        <v>0.46129999999999999</v>
      </c>
      <c r="R72" s="9">
        <v>0.40500000000000003</v>
      </c>
      <c r="S72" s="7">
        <v>250</v>
      </c>
      <c r="T72" s="7">
        <v>8125</v>
      </c>
      <c r="U72" s="7">
        <v>2183</v>
      </c>
      <c r="V72" s="7">
        <v>2861</v>
      </c>
      <c r="W72" s="7">
        <v>999510.22400000005</v>
      </c>
      <c r="X72" s="7">
        <v>4523296.6239999998</v>
      </c>
      <c r="Y72" s="7">
        <v>614393.82400000002</v>
      </c>
      <c r="Z72" s="7">
        <v>91656.175999999905</v>
      </c>
      <c r="AA72" s="7">
        <v>443191.48800000001</v>
      </c>
      <c r="AB72" s="11">
        <f t="shared" si="4"/>
        <v>195409809</v>
      </c>
    </row>
    <row r="73" spans="1:28" x14ac:dyDescent="0.25">
      <c r="A73" t="str">
        <f t="shared" si="5"/>
        <v>Waihou-Piako</v>
      </c>
      <c r="B73" t="str">
        <f t="shared" si="5"/>
        <v>all-enviro-farmers</v>
      </c>
      <c r="C73">
        <v>5</v>
      </c>
      <c r="D73" s="11">
        <v>1336620948</v>
      </c>
      <c r="E73" s="11">
        <v>1147176535</v>
      </c>
      <c r="F73" s="11">
        <v>355030441</v>
      </c>
      <c r="G73" s="7">
        <v>5365</v>
      </c>
      <c r="H73" s="7">
        <v>3672</v>
      </c>
      <c r="I73" s="7">
        <v>5572</v>
      </c>
      <c r="J73" s="7">
        <v>5149</v>
      </c>
      <c r="K73" s="7">
        <v>11034</v>
      </c>
      <c r="L73" s="7">
        <v>7947</v>
      </c>
      <c r="M73" s="7">
        <v>10780</v>
      </c>
      <c r="N73" s="7">
        <v>11034</v>
      </c>
      <c r="O73" s="9">
        <v>0.48620000000000002</v>
      </c>
      <c r="P73" s="9">
        <v>0.46210000000000001</v>
      </c>
      <c r="Q73" s="9">
        <v>0.51690000000000003</v>
      </c>
      <c r="R73" s="9">
        <v>0.46660000000000001</v>
      </c>
      <c r="S73" s="7">
        <v>254</v>
      </c>
      <c r="T73" s="7">
        <v>7947</v>
      </c>
      <c r="U73" s="7">
        <v>2385</v>
      </c>
      <c r="V73" s="7">
        <v>2833</v>
      </c>
      <c r="W73" s="7">
        <v>911472.81599999999</v>
      </c>
      <c r="X73" s="7">
        <v>4160129.568</v>
      </c>
      <c r="Y73" s="7">
        <v>502240.11199999898</v>
      </c>
      <c r="Z73" s="7">
        <v>80533.967999999804</v>
      </c>
      <c r="AA73" s="7">
        <v>374103.24799999897</v>
      </c>
      <c r="AB73" s="11">
        <f t="shared" si="4"/>
        <v>189444413</v>
      </c>
    </row>
    <row r="74" spans="1:28" x14ac:dyDescent="0.25">
      <c r="A74" t="str">
        <f t="shared" si="5"/>
        <v>Waihou-Piako</v>
      </c>
      <c r="B74" t="str">
        <f t="shared" si="5"/>
        <v>all-enviro-farmers</v>
      </c>
      <c r="C74">
        <v>6</v>
      </c>
      <c r="D74" s="11">
        <v>1320471636</v>
      </c>
      <c r="E74" s="11">
        <v>1139545972</v>
      </c>
      <c r="F74" s="11">
        <v>371057439</v>
      </c>
      <c r="G74" s="7">
        <v>5873</v>
      </c>
      <c r="H74" s="7">
        <v>4086</v>
      </c>
      <c r="I74" s="7">
        <v>6369</v>
      </c>
      <c r="J74" s="7">
        <v>5635</v>
      </c>
      <c r="K74" s="7">
        <v>10877</v>
      </c>
      <c r="L74" s="7">
        <v>7800</v>
      </c>
      <c r="M74" s="7">
        <v>10605</v>
      </c>
      <c r="N74" s="7">
        <v>10877</v>
      </c>
      <c r="O74" s="9">
        <v>0.53990000000000005</v>
      </c>
      <c r="P74" s="9">
        <v>0.52380000000000004</v>
      </c>
      <c r="Q74" s="9">
        <v>0.60060000000000002</v>
      </c>
      <c r="R74" s="9">
        <v>0.5181</v>
      </c>
      <c r="S74" s="7">
        <v>272</v>
      </c>
      <c r="T74" s="7">
        <v>7800</v>
      </c>
      <c r="U74" s="7">
        <v>2542</v>
      </c>
      <c r="V74" s="7">
        <v>2805</v>
      </c>
      <c r="W74" s="7">
        <v>831964.95999999903</v>
      </c>
      <c r="X74" s="7">
        <v>3865147.6799999801</v>
      </c>
      <c r="Y74" s="7">
        <v>436686.65600000002</v>
      </c>
      <c r="Z74" s="7">
        <v>72098.672000000093</v>
      </c>
      <c r="AA74" s="7">
        <v>322631.13599999901</v>
      </c>
      <c r="AB74" s="11">
        <f t="shared" si="4"/>
        <v>180925664</v>
      </c>
    </row>
    <row r="75" spans="1:28" x14ac:dyDescent="0.25">
      <c r="A75" t="str">
        <f t="shared" si="5"/>
        <v>Waihou-Piako</v>
      </c>
      <c r="B75" t="str">
        <f t="shared" si="5"/>
        <v>all-enviro-farmers</v>
      </c>
      <c r="C75">
        <v>7</v>
      </c>
      <c r="D75" s="11">
        <v>1307406558</v>
      </c>
      <c r="E75" s="11">
        <v>1130336401</v>
      </c>
      <c r="F75" s="11">
        <v>378760354</v>
      </c>
      <c r="G75" s="7">
        <v>6420</v>
      </c>
      <c r="H75" s="7">
        <v>4488</v>
      </c>
      <c r="I75" s="7">
        <v>6780</v>
      </c>
      <c r="J75" s="7">
        <v>6183</v>
      </c>
      <c r="K75" s="7">
        <v>10627</v>
      </c>
      <c r="L75" s="7">
        <v>7575</v>
      </c>
      <c r="M75" s="7">
        <v>10332</v>
      </c>
      <c r="N75" s="7">
        <v>10627</v>
      </c>
      <c r="O75" s="9">
        <v>0.60409999999999997</v>
      </c>
      <c r="P75" s="9">
        <v>0.59250000000000003</v>
      </c>
      <c r="Q75" s="9">
        <v>0.65620000000000001</v>
      </c>
      <c r="R75" s="9">
        <v>0.58179999999999998</v>
      </c>
      <c r="S75" s="7">
        <v>295</v>
      </c>
      <c r="T75" s="7">
        <v>7575</v>
      </c>
      <c r="U75" s="7">
        <v>2792</v>
      </c>
      <c r="V75" s="7">
        <v>2757</v>
      </c>
      <c r="W75" s="7">
        <v>758212.04799999902</v>
      </c>
      <c r="X75" s="7">
        <v>3634450.6719999998</v>
      </c>
      <c r="Y75" s="7">
        <v>384976.41599999799</v>
      </c>
      <c r="Z75" s="7">
        <v>65591.024000000005</v>
      </c>
      <c r="AA75" s="7">
        <v>284609.647999999</v>
      </c>
      <c r="AB75" s="11">
        <f t="shared" si="4"/>
        <v>177070157</v>
      </c>
    </row>
    <row r="76" spans="1:28" x14ac:dyDescent="0.25">
      <c r="A76" t="str">
        <f t="shared" si="5"/>
        <v>Waihou-Piako</v>
      </c>
      <c r="B76" t="str">
        <f t="shared" si="5"/>
        <v>all-enviro-farmers</v>
      </c>
      <c r="C76">
        <v>8</v>
      </c>
      <c r="D76" s="11">
        <v>1291305827</v>
      </c>
      <c r="E76" s="11">
        <v>1118742832</v>
      </c>
      <c r="F76" s="11">
        <v>365764952</v>
      </c>
      <c r="G76" s="7">
        <v>6699</v>
      </c>
      <c r="H76" s="7">
        <v>4756</v>
      </c>
      <c r="I76" s="7">
        <v>7248</v>
      </c>
      <c r="J76" s="7">
        <v>6665</v>
      </c>
      <c r="K76" s="7">
        <v>10476</v>
      </c>
      <c r="L76" s="7">
        <v>7420</v>
      </c>
      <c r="M76" s="7">
        <v>10174</v>
      </c>
      <c r="N76" s="7">
        <v>10476</v>
      </c>
      <c r="O76" s="9">
        <v>0.63949999999999996</v>
      </c>
      <c r="P76" s="9">
        <v>0.64100000000000001</v>
      </c>
      <c r="Q76" s="9">
        <v>0.71240000000000003</v>
      </c>
      <c r="R76" s="9">
        <v>0.63619999999999999</v>
      </c>
      <c r="S76" s="7">
        <v>302</v>
      </c>
      <c r="T76" s="7">
        <v>7420</v>
      </c>
      <c r="U76" s="7">
        <v>2943</v>
      </c>
      <c r="V76" s="7">
        <v>2754</v>
      </c>
      <c r="W76" s="7">
        <v>661491.93599999906</v>
      </c>
      <c r="X76" s="7">
        <v>3355730.2080000001</v>
      </c>
      <c r="Y76" s="7">
        <v>343081.071999999</v>
      </c>
      <c r="Z76" s="7">
        <v>59245.279999999999</v>
      </c>
      <c r="AA76" s="7">
        <v>243286.49600000001</v>
      </c>
      <c r="AB76" s="11">
        <f t="shared" si="4"/>
        <v>172562995</v>
      </c>
    </row>
    <row r="77" spans="1:28" x14ac:dyDescent="0.25">
      <c r="A77" t="str">
        <f t="shared" si="5"/>
        <v>Waihou-Piako</v>
      </c>
      <c r="B77" t="str">
        <f t="shared" si="5"/>
        <v>all-enviro-farmers</v>
      </c>
      <c r="C77">
        <v>9</v>
      </c>
      <c r="D77" s="11">
        <v>1279045783</v>
      </c>
      <c r="E77" s="11">
        <v>1109819484</v>
      </c>
      <c r="F77" s="11">
        <v>356175952</v>
      </c>
      <c r="G77" s="7">
        <v>7034</v>
      </c>
      <c r="H77" s="7">
        <v>5020</v>
      </c>
      <c r="I77" s="7">
        <v>7586</v>
      </c>
      <c r="J77" s="7">
        <v>7022</v>
      </c>
      <c r="K77" s="7">
        <v>10291</v>
      </c>
      <c r="L77" s="7">
        <v>7264</v>
      </c>
      <c r="M77" s="7">
        <v>9998</v>
      </c>
      <c r="N77" s="7">
        <v>10291</v>
      </c>
      <c r="O77" s="9">
        <v>0.6835</v>
      </c>
      <c r="P77" s="9">
        <v>0.69110000000000005</v>
      </c>
      <c r="Q77" s="9">
        <v>0.75880000000000003</v>
      </c>
      <c r="R77" s="9">
        <v>0.68230000000000002</v>
      </c>
      <c r="S77" s="7">
        <v>293</v>
      </c>
      <c r="T77" s="7">
        <v>7264</v>
      </c>
      <c r="U77" s="7">
        <v>3128</v>
      </c>
      <c r="V77" s="7">
        <v>2734</v>
      </c>
      <c r="W77" s="7">
        <v>594712.22400000005</v>
      </c>
      <c r="X77" s="7">
        <v>3145556.6399999801</v>
      </c>
      <c r="Y77" s="7">
        <v>320851.887999998</v>
      </c>
      <c r="Z77" s="7">
        <v>54701.760000000097</v>
      </c>
      <c r="AA77" s="7">
        <v>219485.36</v>
      </c>
      <c r="AB77" s="11">
        <f t="shared" si="4"/>
        <v>169226299</v>
      </c>
    </row>
    <row r="78" spans="1:28" x14ac:dyDescent="0.25">
      <c r="A78" s="5" t="str">
        <f t="shared" si="5"/>
        <v>Waihou-Piako</v>
      </c>
      <c r="B78" s="5" t="str">
        <f t="shared" si="5"/>
        <v>all-enviro-farmers</v>
      </c>
      <c r="C78" s="5">
        <v>10</v>
      </c>
      <c r="D78" s="12">
        <v>1266487359</v>
      </c>
      <c r="E78" s="12">
        <v>1100689749</v>
      </c>
      <c r="F78" s="12">
        <v>366881214</v>
      </c>
      <c r="G78" s="8">
        <v>7387</v>
      </c>
      <c r="H78" s="8">
        <v>5327</v>
      </c>
      <c r="I78" s="8">
        <v>7760</v>
      </c>
      <c r="J78" s="8">
        <v>7253</v>
      </c>
      <c r="K78" s="8">
        <v>10154</v>
      </c>
      <c r="L78" s="8">
        <v>7127</v>
      </c>
      <c r="M78" s="8">
        <v>9859</v>
      </c>
      <c r="N78" s="8">
        <v>10154</v>
      </c>
      <c r="O78" s="10">
        <v>0.72750000000000004</v>
      </c>
      <c r="P78" s="10">
        <v>0.74739999999999995</v>
      </c>
      <c r="Q78" s="10">
        <v>0.78710000000000002</v>
      </c>
      <c r="R78" s="10">
        <v>0.71430000000000005</v>
      </c>
      <c r="S78" s="8">
        <v>295</v>
      </c>
      <c r="T78" s="8">
        <v>7127</v>
      </c>
      <c r="U78" s="8">
        <v>3265</v>
      </c>
      <c r="V78" s="8">
        <v>2732</v>
      </c>
      <c r="W78" s="8">
        <v>525871.98400000005</v>
      </c>
      <c r="X78" s="8">
        <v>2960370.41600001</v>
      </c>
      <c r="Y78" s="8">
        <v>299744.31999999803</v>
      </c>
      <c r="Z78" s="8">
        <v>51059.68</v>
      </c>
      <c r="AA78" s="8">
        <v>198028.64</v>
      </c>
      <c r="AB78" s="12">
        <f t="shared" si="4"/>
        <v>165797610</v>
      </c>
    </row>
    <row r="79" spans="1:28" x14ac:dyDescent="0.25">
      <c r="A79" t="str">
        <f t="shared" si="5"/>
        <v>Waihou-Piako</v>
      </c>
      <c r="B79" t="str">
        <f>Scenario!I2</f>
        <v>high-tech-change</v>
      </c>
      <c r="C79">
        <v>0</v>
      </c>
      <c r="D79" s="11">
        <v>1414664765</v>
      </c>
      <c r="E79" s="11">
        <v>1196543938</v>
      </c>
      <c r="F79" s="11">
        <v>413244508</v>
      </c>
      <c r="G79" s="7">
        <v>1332</v>
      </c>
      <c r="H79" s="7">
        <v>840</v>
      </c>
      <c r="I79" s="7">
        <v>1219</v>
      </c>
      <c r="J79" s="7">
        <v>1267</v>
      </c>
      <c r="K79" s="7">
        <v>12351</v>
      </c>
      <c r="L79" s="7">
        <v>9078</v>
      </c>
      <c r="M79" s="7">
        <v>12167</v>
      </c>
      <c r="N79" s="7">
        <v>12351</v>
      </c>
      <c r="O79" s="9">
        <v>0.10780000000000001</v>
      </c>
      <c r="P79" s="9">
        <v>9.2499999999999999E-2</v>
      </c>
      <c r="Q79" s="9">
        <v>0.1002</v>
      </c>
      <c r="R79" s="9">
        <v>0.1026</v>
      </c>
      <c r="S79" s="7">
        <v>184</v>
      </c>
      <c r="T79" s="7">
        <v>9078</v>
      </c>
      <c r="U79" s="7">
        <v>1068</v>
      </c>
      <c r="V79" s="7">
        <v>3089</v>
      </c>
      <c r="W79" s="7">
        <v>1379504.32</v>
      </c>
      <c r="X79" s="7">
        <v>5738137.5199999996</v>
      </c>
      <c r="Y79" s="7">
        <v>1133321.15199999</v>
      </c>
      <c r="Z79" s="7">
        <v>133573.856</v>
      </c>
      <c r="AA79" s="7">
        <v>724425.82399999897</v>
      </c>
      <c r="AB79" s="11">
        <f t="shared" si="4"/>
        <v>218120827</v>
      </c>
    </row>
    <row r="80" spans="1:28" x14ac:dyDescent="0.25">
      <c r="A80" t="str">
        <f t="shared" si="5"/>
        <v>Waihou-Piako</v>
      </c>
      <c r="B80" t="str">
        <f>B79</f>
        <v>high-tech-change</v>
      </c>
      <c r="C80">
        <v>1</v>
      </c>
      <c r="D80" s="11">
        <v>1414355374</v>
      </c>
      <c r="E80" s="11">
        <v>1195580426</v>
      </c>
      <c r="F80" s="11">
        <v>539290032</v>
      </c>
      <c r="G80" s="7">
        <v>1857</v>
      </c>
      <c r="H80" s="7">
        <v>1299</v>
      </c>
      <c r="I80" s="7">
        <v>1744</v>
      </c>
      <c r="J80" s="7">
        <v>1805</v>
      </c>
      <c r="K80" s="7">
        <v>11986</v>
      </c>
      <c r="L80" s="7">
        <v>8732</v>
      </c>
      <c r="M80" s="7">
        <v>11780</v>
      </c>
      <c r="N80" s="7">
        <v>11986</v>
      </c>
      <c r="O80" s="9">
        <v>0.15490000000000001</v>
      </c>
      <c r="P80" s="9">
        <v>0.14879999999999999</v>
      </c>
      <c r="Q80" s="9">
        <v>0.14799999999999999</v>
      </c>
      <c r="R80" s="9">
        <v>0.15060000000000001</v>
      </c>
      <c r="S80" s="7">
        <v>206</v>
      </c>
      <c r="T80" s="7">
        <v>8732</v>
      </c>
      <c r="U80" s="7">
        <v>1433</v>
      </c>
      <c r="V80" s="7">
        <v>3048</v>
      </c>
      <c r="W80" s="7">
        <v>1379442.72</v>
      </c>
      <c r="X80" s="7">
        <v>5738698.1279999996</v>
      </c>
      <c r="Y80" s="7">
        <v>1133888.912</v>
      </c>
      <c r="Z80" s="7">
        <v>133519.21599999999</v>
      </c>
      <c r="AA80" s="7">
        <v>724125.34400000004</v>
      </c>
      <c r="AB80" s="11">
        <f t="shared" si="4"/>
        <v>218774948</v>
      </c>
    </row>
    <row r="81" spans="1:28" x14ac:dyDescent="0.25">
      <c r="A81" t="str">
        <f t="shared" si="5"/>
        <v>Waihou-Piako</v>
      </c>
      <c r="B81" t="str">
        <f t="shared" si="5"/>
        <v>high-tech-change</v>
      </c>
      <c r="C81">
        <v>2</v>
      </c>
      <c r="D81" s="11">
        <v>1458016601</v>
      </c>
      <c r="E81" s="11">
        <v>1176412327</v>
      </c>
      <c r="F81" s="11">
        <v>556806389</v>
      </c>
      <c r="G81" s="7">
        <v>2522</v>
      </c>
      <c r="H81" s="7">
        <v>1752</v>
      </c>
      <c r="I81" s="7">
        <v>2462</v>
      </c>
      <c r="J81" s="7">
        <v>2468</v>
      </c>
      <c r="K81" s="7">
        <v>11871</v>
      </c>
      <c r="L81" s="7">
        <v>8518</v>
      </c>
      <c r="M81" s="7">
        <v>11645</v>
      </c>
      <c r="N81" s="7">
        <v>11871</v>
      </c>
      <c r="O81" s="9">
        <v>0.21249999999999999</v>
      </c>
      <c r="P81" s="9">
        <v>0.20569999999999999</v>
      </c>
      <c r="Q81" s="9">
        <v>0.2114</v>
      </c>
      <c r="R81" s="9">
        <v>0.2079</v>
      </c>
      <c r="S81" s="7">
        <v>226</v>
      </c>
      <c r="T81" s="7">
        <v>8518</v>
      </c>
      <c r="U81" s="7">
        <v>1548</v>
      </c>
      <c r="V81" s="7">
        <v>3127</v>
      </c>
      <c r="W81" s="7">
        <v>1232595.2479999999</v>
      </c>
      <c r="X81" s="7">
        <v>5371382.6880000103</v>
      </c>
      <c r="Y81" s="7">
        <v>1021632.71999999</v>
      </c>
      <c r="Z81" s="7">
        <v>122403.344</v>
      </c>
      <c r="AA81" s="7">
        <v>646410.76799999899</v>
      </c>
      <c r="AB81" s="11">
        <f t="shared" si="4"/>
        <v>281604274</v>
      </c>
    </row>
    <row r="82" spans="1:28" x14ac:dyDescent="0.25">
      <c r="A82" t="str">
        <f t="shared" si="5"/>
        <v>Waihou-Piako</v>
      </c>
      <c r="B82" t="str">
        <f t="shared" si="5"/>
        <v>high-tech-change</v>
      </c>
      <c r="C82">
        <v>3</v>
      </c>
      <c r="D82" s="11">
        <v>1434788654</v>
      </c>
      <c r="E82" s="11">
        <v>1162438388</v>
      </c>
      <c r="F82" s="11">
        <v>567786579</v>
      </c>
      <c r="G82" s="7">
        <v>3035</v>
      </c>
      <c r="H82" s="7">
        <v>2062</v>
      </c>
      <c r="I82" s="7">
        <v>3027</v>
      </c>
      <c r="J82" s="7">
        <v>2926</v>
      </c>
      <c r="K82" s="7">
        <v>11616</v>
      </c>
      <c r="L82" s="7">
        <v>8271</v>
      </c>
      <c r="M82" s="7">
        <v>11368</v>
      </c>
      <c r="N82" s="7">
        <v>11616</v>
      </c>
      <c r="O82" s="9">
        <v>0.26129999999999998</v>
      </c>
      <c r="P82" s="9">
        <v>0.24929999999999999</v>
      </c>
      <c r="Q82" s="9">
        <v>0.26629999999999998</v>
      </c>
      <c r="R82" s="9">
        <v>0.25190000000000001</v>
      </c>
      <c r="S82" s="7">
        <v>248</v>
      </c>
      <c r="T82" s="7">
        <v>8271</v>
      </c>
      <c r="U82" s="7">
        <v>1803</v>
      </c>
      <c r="V82" s="7">
        <v>3097</v>
      </c>
      <c r="W82" s="7">
        <v>1164119.088</v>
      </c>
      <c r="X82" s="7">
        <v>5055740</v>
      </c>
      <c r="Y82" s="7">
        <v>905655.27999999805</v>
      </c>
      <c r="Z82" s="7">
        <v>111711.31200000001</v>
      </c>
      <c r="AA82" s="7">
        <v>577607.61600000004</v>
      </c>
      <c r="AB82" s="11">
        <f t="shared" si="4"/>
        <v>272350266</v>
      </c>
    </row>
    <row r="83" spans="1:28" x14ac:dyDescent="0.25">
      <c r="A83" t="str">
        <f t="shared" si="5"/>
        <v>Waihou-Piako</v>
      </c>
      <c r="B83" t="str">
        <f t="shared" si="5"/>
        <v>high-tech-change</v>
      </c>
      <c r="C83">
        <v>4</v>
      </c>
      <c r="D83" s="11">
        <v>1416589798</v>
      </c>
      <c r="E83" s="11">
        <v>1148955578</v>
      </c>
      <c r="F83" s="11">
        <v>504227139</v>
      </c>
      <c r="G83" s="7">
        <v>3473</v>
      </c>
      <c r="H83" s="7">
        <v>2406</v>
      </c>
      <c r="I83" s="7">
        <v>3490</v>
      </c>
      <c r="J83" s="7">
        <v>3448</v>
      </c>
      <c r="K83" s="7">
        <v>11405</v>
      </c>
      <c r="L83" s="7">
        <v>8106</v>
      </c>
      <c r="M83" s="7">
        <v>11142</v>
      </c>
      <c r="N83" s="7">
        <v>11405</v>
      </c>
      <c r="O83" s="9">
        <v>0.30449999999999999</v>
      </c>
      <c r="P83" s="9">
        <v>0.29680000000000001</v>
      </c>
      <c r="Q83" s="9">
        <v>0.31319999999999998</v>
      </c>
      <c r="R83" s="9">
        <v>0.30230000000000001</v>
      </c>
      <c r="S83" s="7">
        <v>263</v>
      </c>
      <c r="T83" s="7">
        <v>8106</v>
      </c>
      <c r="U83" s="7">
        <v>2014</v>
      </c>
      <c r="V83" s="7">
        <v>3036</v>
      </c>
      <c r="W83" s="7">
        <v>1062449.824</v>
      </c>
      <c r="X83" s="7">
        <v>4786971.9040000001</v>
      </c>
      <c r="Y83" s="7">
        <v>799629.95199999795</v>
      </c>
      <c r="Z83" s="7">
        <v>102926.704</v>
      </c>
      <c r="AA83" s="7">
        <v>519423.919999998</v>
      </c>
      <c r="AB83" s="11">
        <f t="shared" si="4"/>
        <v>267634220</v>
      </c>
    </row>
    <row r="84" spans="1:28" x14ac:dyDescent="0.25">
      <c r="A84" t="str">
        <f t="shared" si="5"/>
        <v>Waihou-Piako</v>
      </c>
      <c r="B84" t="str">
        <f t="shared" si="5"/>
        <v>high-tech-change</v>
      </c>
      <c r="C84">
        <v>5</v>
      </c>
      <c r="D84" s="11">
        <v>1403535370</v>
      </c>
      <c r="E84" s="11">
        <v>1141572338</v>
      </c>
      <c r="F84" s="11">
        <v>473864019</v>
      </c>
      <c r="G84" s="7">
        <v>3927</v>
      </c>
      <c r="H84" s="7">
        <v>2745</v>
      </c>
      <c r="I84" s="7">
        <v>3960</v>
      </c>
      <c r="J84" s="7">
        <v>3829</v>
      </c>
      <c r="K84" s="7">
        <v>11195</v>
      </c>
      <c r="L84" s="7">
        <v>7924</v>
      </c>
      <c r="M84" s="7">
        <v>10918</v>
      </c>
      <c r="N84" s="7">
        <v>11195</v>
      </c>
      <c r="O84" s="9">
        <v>0.3508</v>
      </c>
      <c r="P84" s="9">
        <v>0.34639999999999999</v>
      </c>
      <c r="Q84" s="9">
        <v>0.36270000000000002</v>
      </c>
      <c r="R84" s="9">
        <v>0.34200000000000003</v>
      </c>
      <c r="S84" s="7">
        <v>277</v>
      </c>
      <c r="T84" s="7">
        <v>7924</v>
      </c>
      <c r="U84" s="7">
        <v>2224</v>
      </c>
      <c r="V84" s="7">
        <v>2994</v>
      </c>
      <c r="W84" s="7">
        <v>975790.94400000095</v>
      </c>
      <c r="X84" s="7">
        <v>4531315.3759999797</v>
      </c>
      <c r="Y84" s="7">
        <v>715055.18400000001</v>
      </c>
      <c r="Z84" s="7">
        <v>95349.872000000003</v>
      </c>
      <c r="AA84" s="7">
        <v>469279.6</v>
      </c>
      <c r="AB84" s="11">
        <f t="shared" si="4"/>
        <v>261963032</v>
      </c>
    </row>
    <row r="85" spans="1:28" x14ac:dyDescent="0.25">
      <c r="A85" t="str">
        <f t="shared" si="5"/>
        <v>Waihou-Piako</v>
      </c>
      <c r="B85" t="str">
        <f t="shared" si="5"/>
        <v>high-tech-change</v>
      </c>
      <c r="C85">
        <v>6</v>
      </c>
      <c r="D85" s="11">
        <v>1388570968</v>
      </c>
      <c r="E85" s="11">
        <v>1130966168</v>
      </c>
      <c r="F85" s="11">
        <v>462211047</v>
      </c>
      <c r="G85" s="7">
        <v>4376</v>
      </c>
      <c r="H85" s="7">
        <v>3028</v>
      </c>
      <c r="I85" s="7">
        <v>4370</v>
      </c>
      <c r="J85" s="7">
        <v>4326</v>
      </c>
      <c r="K85" s="7">
        <v>10949</v>
      </c>
      <c r="L85" s="7">
        <v>7720</v>
      </c>
      <c r="M85" s="7">
        <v>10666</v>
      </c>
      <c r="N85" s="7">
        <v>10949</v>
      </c>
      <c r="O85" s="9">
        <v>0.3997</v>
      </c>
      <c r="P85" s="9">
        <v>0.39219999999999999</v>
      </c>
      <c r="Q85" s="9">
        <v>0.40970000000000001</v>
      </c>
      <c r="R85" s="9">
        <v>0.39510000000000001</v>
      </c>
      <c r="S85" s="7">
        <v>283</v>
      </c>
      <c r="T85" s="7">
        <v>7720</v>
      </c>
      <c r="U85" s="7">
        <v>2470</v>
      </c>
      <c r="V85" s="7">
        <v>2946</v>
      </c>
      <c r="W85" s="7">
        <v>892580.576</v>
      </c>
      <c r="X85" s="7">
        <v>4312003.88799999</v>
      </c>
      <c r="Y85" s="7">
        <v>654187.15200000105</v>
      </c>
      <c r="Z85" s="7">
        <v>88951.872000000003</v>
      </c>
      <c r="AA85" s="7">
        <v>426727.45600000001</v>
      </c>
      <c r="AB85" s="11">
        <f t="shared" si="4"/>
        <v>257604800</v>
      </c>
    </row>
    <row r="86" spans="1:28" x14ac:dyDescent="0.25">
      <c r="A86" t="str">
        <f t="shared" si="5"/>
        <v>Waihou-Piako</v>
      </c>
      <c r="B86" t="str">
        <f t="shared" si="5"/>
        <v>high-tech-change</v>
      </c>
      <c r="C86">
        <v>7</v>
      </c>
      <c r="D86" s="11">
        <v>1372941109</v>
      </c>
      <c r="E86" s="11">
        <v>1121884328</v>
      </c>
      <c r="F86" s="11">
        <v>498894101</v>
      </c>
      <c r="G86" s="7">
        <v>4704</v>
      </c>
      <c r="H86" s="7">
        <v>3267</v>
      </c>
      <c r="I86" s="7">
        <v>4858</v>
      </c>
      <c r="J86" s="7">
        <v>4790</v>
      </c>
      <c r="K86" s="7">
        <v>10780</v>
      </c>
      <c r="L86" s="7">
        <v>7543</v>
      </c>
      <c r="M86" s="7">
        <v>10467</v>
      </c>
      <c r="N86" s="7">
        <v>10780</v>
      </c>
      <c r="O86" s="9">
        <v>0.43640000000000001</v>
      </c>
      <c r="P86" s="9">
        <v>0.43309999999999998</v>
      </c>
      <c r="Q86" s="9">
        <v>0.46410000000000001</v>
      </c>
      <c r="R86" s="9">
        <v>0.44429999999999997</v>
      </c>
      <c r="S86" s="7">
        <v>313</v>
      </c>
      <c r="T86" s="7">
        <v>7543</v>
      </c>
      <c r="U86" s="7">
        <v>2639</v>
      </c>
      <c r="V86" s="7">
        <v>2924</v>
      </c>
      <c r="W86" s="7">
        <v>797010.24</v>
      </c>
      <c r="X86" s="7">
        <v>4029478.67199999</v>
      </c>
      <c r="Y86" s="7">
        <v>584272.48</v>
      </c>
      <c r="Z86" s="7">
        <v>81432.8320000003</v>
      </c>
      <c r="AA86" s="7">
        <v>380078.49599999998</v>
      </c>
      <c r="AB86" s="11">
        <f t="shared" si="4"/>
        <v>251056781</v>
      </c>
    </row>
    <row r="87" spans="1:28" x14ac:dyDescent="0.25">
      <c r="A87" t="str">
        <f t="shared" si="5"/>
        <v>Waihou-Piako</v>
      </c>
      <c r="B87" t="str">
        <f t="shared" si="5"/>
        <v>high-tech-change</v>
      </c>
      <c r="C87">
        <v>8</v>
      </c>
      <c r="D87" s="11">
        <v>1358865564</v>
      </c>
      <c r="E87" s="11">
        <v>1112232487</v>
      </c>
      <c r="F87" s="11">
        <v>478584586</v>
      </c>
      <c r="G87" s="7">
        <v>5113</v>
      </c>
      <c r="H87" s="7">
        <v>3461</v>
      </c>
      <c r="I87" s="7">
        <v>5213</v>
      </c>
      <c r="J87" s="7">
        <v>5183</v>
      </c>
      <c r="K87" s="7">
        <v>10591</v>
      </c>
      <c r="L87" s="7">
        <v>7399</v>
      </c>
      <c r="M87" s="7">
        <v>10259</v>
      </c>
      <c r="N87" s="7">
        <v>10591</v>
      </c>
      <c r="O87" s="9">
        <v>0.48280000000000001</v>
      </c>
      <c r="P87" s="9">
        <v>0.46779999999999999</v>
      </c>
      <c r="Q87" s="9">
        <v>0.5081</v>
      </c>
      <c r="R87" s="9">
        <v>0.4894</v>
      </c>
      <c r="S87" s="7">
        <v>332</v>
      </c>
      <c r="T87" s="7">
        <v>7399</v>
      </c>
      <c r="U87" s="7">
        <v>2828</v>
      </c>
      <c r="V87" s="7">
        <v>2860</v>
      </c>
      <c r="W87" s="7">
        <v>727653.15199999802</v>
      </c>
      <c r="X87" s="7">
        <v>3824545.3759999899</v>
      </c>
      <c r="Y87" s="7">
        <v>530387.28</v>
      </c>
      <c r="Z87" s="7">
        <v>75913.248000000094</v>
      </c>
      <c r="AA87" s="7">
        <v>344835.08799999999</v>
      </c>
      <c r="AB87" s="11">
        <f t="shared" si="4"/>
        <v>246633077</v>
      </c>
    </row>
    <row r="88" spans="1:28" x14ac:dyDescent="0.25">
      <c r="A88" t="str">
        <f t="shared" si="5"/>
        <v>Waihou-Piako</v>
      </c>
      <c r="B88" t="str">
        <f t="shared" si="5"/>
        <v>high-tech-change</v>
      </c>
      <c r="C88">
        <v>9</v>
      </c>
      <c r="D88" s="11">
        <v>1348746077</v>
      </c>
      <c r="E88" s="11">
        <v>1105239095</v>
      </c>
      <c r="F88" s="11">
        <v>486234818</v>
      </c>
      <c r="G88" s="7">
        <v>5359</v>
      </c>
      <c r="H88" s="7">
        <v>3673</v>
      </c>
      <c r="I88" s="7">
        <v>5536</v>
      </c>
      <c r="J88" s="7">
        <v>5422</v>
      </c>
      <c r="K88" s="7">
        <v>10475</v>
      </c>
      <c r="L88" s="7">
        <v>7286</v>
      </c>
      <c r="M88" s="7">
        <v>10131</v>
      </c>
      <c r="N88" s="7">
        <v>10475</v>
      </c>
      <c r="O88" s="9">
        <v>0.51160000000000005</v>
      </c>
      <c r="P88" s="9">
        <v>0.50409999999999999</v>
      </c>
      <c r="Q88" s="9">
        <v>0.5464</v>
      </c>
      <c r="R88" s="9">
        <v>0.51759999999999995</v>
      </c>
      <c r="S88" s="7">
        <v>344</v>
      </c>
      <c r="T88" s="7">
        <v>7286</v>
      </c>
      <c r="U88" s="7">
        <v>2944</v>
      </c>
      <c r="V88" s="7">
        <v>2845</v>
      </c>
      <c r="W88" s="7">
        <v>654441.951999999</v>
      </c>
      <c r="X88" s="7">
        <v>3636583.1199999801</v>
      </c>
      <c r="Y88" s="7">
        <v>465089.99999999802</v>
      </c>
      <c r="Z88" s="7">
        <v>70611.408000000098</v>
      </c>
      <c r="AA88" s="7">
        <v>310417.61599999998</v>
      </c>
      <c r="AB88" s="11">
        <f t="shared" si="4"/>
        <v>243506982</v>
      </c>
    </row>
    <row r="89" spans="1:28" x14ac:dyDescent="0.25">
      <c r="A89" s="5" t="str">
        <f t="shared" si="5"/>
        <v>Waihou-Piako</v>
      </c>
      <c r="B89" s="5" t="str">
        <f t="shared" si="5"/>
        <v>high-tech-change</v>
      </c>
      <c r="C89" s="5">
        <v>10</v>
      </c>
      <c r="D89" s="12">
        <v>1338991678</v>
      </c>
      <c r="E89" s="12">
        <v>1097919214</v>
      </c>
      <c r="F89" s="12">
        <v>495243915</v>
      </c>
      <c r="G89" s="8">
        <v>5534</v>
      </c>
      <c r="H89" s="8">
        <v>3935</v>
      </c>
      <c r="I89" s="8">
        <v>5777</v>
      </c>
      <c r="J89" s="8">
        <v>5685</v>
      </c>
      <c r="K89" s="8">
        <v>10307</v>
      </c>
      <c r="L89" s="8">
        <v>7126</v>
      </c>
      <c r="M89" s="8">
        <v>9978</v>
      </c>
      <c r="N89" s="8">
        <v>10307</v>
      </c>
      <c r="O89" s="10">
        <v>0.53690000000000004</v>
      </c>
      <c r="P89" s="10">
        <v>0.55220000000000002</v>
      </c>
      <c r="Q89" s="10">
        <v>0.57899999999999996</v>
      </c>
      <c r="R89" s="10">
        <v>0.55159999999999998</v>
      </c>
      <c r="S89" s="8">
        <v>329</v>
      </c>
      <c r="T89" s="8">
        <v>7126</v>
      </c>
      <c r="U89" s="8">
        <v>3112</v>
      </c>
      <c r="V89" s="8">
        <v>2852</v>
      </c>
      <c r="W89" s="8">
        <v>607010.60800000001</v>
      </c>
      <c r="X89" s="8">
        <v>3502770.3840000099</v>
      </c>
      <c r="Y89" s="8">
        <v>449769.05599999998</v>
      </c>
      <c r="Z89" s="8">
        <v>67274.127999999997</v>
      </c>
      <c r="AA89" s="8">
        <v>291664.22399999999</v>
      </c>
      <c r="AB89" s="12">
        <f t="shared" si="4"/>
        <v>241072464</v>
      </c>
    </row>
    <row r="90" spans="1:28" x14ac:dyDescent="0.25">
      <c r="A90" t="str">
        <f t="shared" si="5"/>
        <v>Waihou-Piako</v>
      </c>
      <c r="B90" t="str">
        <f>Scenario!J2</f>
        <v>low-init-intervention</v>
      </c>
      <c r="C90">
        <v>0</v>
      </c>
      <c r="D90" s="11">
        <v>1420128412</v>
      </c>
      <c r="E90" s="11">
        <v>1196293021</v>
      </c>
      <c r="F90" s="11">
        <v>434758145</v>
      </c>
      <c r="G90" s="7">
        <v>398</v>
      </c>
      <c r="H90" s="7">
        <v>301</v>
      </c>
      <c r="I90" s="7">
        <v>427</v>
      </c>
      <c r="J90" s="7">
        <v>424</v>
      </c>
      <c r="K90" s="7">
        <v>12351</v>
      </c>
      <c r="L90" s="7">
        <v>9078</v>
      </c>
      <c r="M90" s="7">
        <v>12167</v>
      </c>
      <c r="N90" s="7">
        <v>12351</v>
      </c>
      <c r="O90" s="9">
        <v>3.2199999999999999E-2</v>
      </c>
      <c r="P90" s="9">
        <v>3.32E-2</v>
      </c>
      <c r="Q90" s="9">
        <v>3.5099999999999999E-2</v>
      </c>
      <c r="R90" s="9">
        <v>3.4299999999999997E-2</v>
      </c>
      <c r="S90" s="7">
        <v>184</v>
      </c>
      <c r="T90" s="7">
        <v>9078</v>
      </c>
      <c r="U90" s="7">
        <v>1068</v>
      </c>
      <c r="V90" s="7">
        <v>3089</v>
      </c>
      <c r="W90" s="7">
        <v>1396309.45599999</v>
      </c>
      <c r="X90" s="7">
        <v>6020486.0160000101</v>
      </c>
      <c r="Y90" s="7">
        <v>1311862.496</v>
      </c>
      <c r="Z90" s="7">
        <v>146604.12799999901</v>
      </c>
      <c r="AA90" s="7">
        <v>813662.07999999798</v>
      </c>
      <c r="AB90" s="11">
        <f t="shared" si="4"/>
        <v>223835391</v>
      </c>
    </row>
    <row r="91" spans="1:28" x14ac:dyDescent="0.25">
      <c r="A91" t="str">
        <f t="shared" si="5"/>
        <v>Waihou-Piako</v>
      </c>
      <c r="B91" t="str">
        <f>B90</f>
        <v>low-init-intervention</v>
      </c>
      <c r="C91">
        <v>1</v>
      </c>
      <c r="D91" s="11">
        <v>1419823939</v>
      </c>
      <c r="E91" s="11">
        <v>1195330084</v>
      </c>
      <c r="F91" s="11">
        <v>554645051</v>
      </c>
      <c r="G91" s="7">
        <v>846</v>
      </c>
      <c r="H91" s="7">
        <v>760</v>
      </c>
      <c r="I91" s="7">
        <v>1029</v>
      </c>
      <c r="J91" s="7">
        <v>1030</v>
      </c>
      <c r="K91" s="7">
        <v>11922</v>
      </c>
      <c r="L91" s="7">
        <v>8698</v>
      </c>
      <c r="M91" s="7">
        <v>11725</v>
      </c>
      <c r="N91" s="7">
        <v>11922</v>
      </c>
      <c r="O91" s="9">
        <v>7.0999999999999994E-2</v>
      </c>
      <c r="P91" s="9">
        <v>8.7400000000000005E-2</v>
      </c>
      <c r="Q91" s="9">
        <v>8.7800000000000003E-2</v>
      </c>
      <c r="R91" s="9">
        <v>8.6400000000000005E-2</v>
      </c>
      <c r="S91" s="7">
        <v>197</v>
      </c>
      <c r="T91" s="7">
        <v>8698</v>
      </c>
      <c r="U91" s="7">
        <v>1497</v>
      </c>
      <c r="V91" s="7">
        <v>3027</v>
      </c>
      <c r="W91" s="7">
        <v>1396305.4399999899</v>
      </c>
      <c r="X91" s="7">
        <v>6021924.5280000204</v>
      </c>
      <c r="Y91" s="7">
        <v>1312340.5120000001</v>
      </c>
      <c r="Z91" s="7">
        <v>146541.21599999999</v>
      </c>
      <c r="AA91" s="7">
        <v>813317.40800000005</v>
      </c>
      <c r="AB91" s="11">
        <f t="shared" si="4"/>
        <v>224493855</v>
      </c>
    </row>
    <row r="92" spans="1:28" x14ac:dyDescent="0.25">
      <c r="A92" t="str">
        <f t="shared" si="5"/>
        <v>Waihou-Piako</v>
      </c>
      <c r="B92" t="str">
        <f t="shared" si="5"/>
        <v>low-init-intervention</v>
      </c>
      <c r="C92">
        <v>2</v>
      </c>
      <c r="D92" s="11">
        <v>1391301020</v>
      </c>
      <c r="E92" s="11">
        <v>1175036253</v>
      </c>
      <c r="F92" s="11">
        <v>513874409</v>
      </c>
      <c r="G92" s="7">
        <v>1410</v>
      </c>
      <c r="H92" s="7">
        <v>1163</v>
      </c>
      <c r="I92" s="7">
        <v>1645</v>
      </c>
      <c r="J92" s="7">
        <v>1620</v>
      </c>
      <c r="K92" s="7">
        <v>11600</v>
      </c>
      <c r="L92" s="7">
        <v>8396</v>
      </c>
      <c r="M92" s="7">
        <v>11385</v>
      </c>
      <c r="N92" s="7">
        <v>11600</v>
      </c>
      <c r="O92" s="9">
        <v>0.1216</v>
      </c>
      <c r="P92" s="9">
        <v>0.13850000000000001</v>
      </c>
      <c r="Q92" s="9">
        <v>0.14449999999999999</v>
      </c>
      <c r="R92" s="9">
        <v>0.13969999999999999</v>
      </c>
      <c r="S92" s="7">
        <v>215</v>
      </c>
      <c r="T92" s="7">
        <v>8396</v>
      </c>
      <c r="U92" s="7">
        <v>1819</v>
      </c>
      <c r="V92" s="7">
        <v>2989</v>
      </c>
      <c r="W92" s="7">
        <v>1229434.97599999</v>
      </c>
      <c r="X92" s="7">
        <v>5611301.8720000004</v>
      </c>
      <c r="Y92" s="7">
        <v>1177004.352</v>
      </c>
      <c r="Z92" s="7">
        <v>134266.62400000001</v>
      </c>
      <c r="AA92" s="7">
        <v>728879.647999999</v>
      </c>
      <c r="AB92" s="11">
        <f t="shared" si="4"/>
        <v>216264767</v>
      </c>
    </row>
    <row r="93" spans="1:28" x14ac:dyDescent="0.25">
      <c r="A93" t="str">
        <f t="shared" si="5"/>
        <v>Waihou-Piako</v>
      </c>
      <c r="B93" t="str">
        <f t="shared" si="5"/>
        <v>low-init-intervention</v>
      </c>
      <c r="C93">
        <v>3</v>
      </c>
      <c r="D93" s="11">
        <v>1367754043</v>
      </c>
      <c r="E93" s="11">
        <v>1158532802</v>
      </c>
      <c r="F93" s="11">
        <v>449738018</v>
      </c>
      <c r="G93" s="7">
        <v>1920</v>
      </c>
      <c r="H93" s="7">
        <v>1500</v>
      </c>
      <c r="I93" s="7">
        <v>2248</v>
      </c>
      <c r="J93" s="7">
        <v>2125</v>
      </c>
      <c r="K93" s="7">
        <v>11345</v>
      </c>
      <c r="L93" s="7">
        <v>8208</v>
      </c>
      <c r="M93" s="7">
        <v>11112</v>
      </c>
      <c r="N93" s="7">
        <v>11345</v>
      </c>
      <c r="O93" s="9">
        <v>0.16919999999999999</v>
      </c>
      <c r="P93" s="9">
        <v>0.1827</v>
      </c>
      <c r="Q93" s="9">
        <v>0.20230000000000001</v>
      </c>
      <c r="R93" s="9">
        <v>0.18729999999999999</v>
      </c>
      <c r="S93" s="7">
        <v>233</v>
      </c>
      <c r="T93" s="7">
        <v>8208</v>
      </c>
      <c r="U93" s="7">
        <v>2074</v>
      </c>
      <c r="V93" s="7">
        <v>2904</v>
      </c>
      <c r="W93" s="7">
        <v>1097386.048</v>
      </c>
      <c r="X93" s="7">
        <v>5245459.824</v>
      </c>
      <c r="Y93" s="7">
        <v>1045450.60799999</v>
      </c>
      <c r="Z93" s="7">
        <v>122658.20799999899</v>
      </c>
      <c r="AA93" s="7">
        <v>649787.71199999901</v>
      </c>
      <c r="AB93" s="11">
        <f t="shared" si="4"/>
        <v>209221241</v>
      </c>
    </row>
    <row r="94" spans="1:28" x14ac:dyDescent="0.25">
      <c r="A94" t="str">
        <f t="shared" si="5"/>
        <v>Waihou-Piako</v>
      </c>
      <c r="B94" t="str">
        <f t="shared" si="5"/>
        <v>low-init-intervention</v>
      </c>
      <c r="C94">
        <v>4</v>
      </c>
      <c r="D94" s="11">
        <v>1355958119</v>
      </c>
      <c r="E94" s="11">
        <v>1149707871</v>
      </c>
      <c r="F94" s="11">
        <v>372526482</v>
      </c>
      <c r="G94" s="7">
        <v>2386</v>
      </c>
      <c r="H94" s="7">
        <v>1799</v>
      </c>
      <c r="I94" s="7">
        <v>2833</v>
      </c>
      <c r="J94" s="7">
        <v>2706</v>
      </c>
      <c r="K94" s="7">
        <v>11136</v>
      </c>
      <c r="L94" s="7">
        <v>8076</v>
      </c>
      <c r="M94" s="7">
        <v>10877</v>
      </c>
      <c r="N94" s="7">
        <v>11136</v>
      </c>
      <c r="O94" s="9">
        <v>0.21429999999999999</v>
      </c>
      <c r="P94" s="9">
        <v>0.2228</v>
      </c>
      <c r="Q94" s="9">
        <v>0.26050000000000001</v>
      </c>
      <c r="R94" s="9">
        <v>0.24299999999999999</v>
      </c>
      <c r="S94" s="7">
        <v>259</v>
      </c>
      <c r="T94" s="7">
        <v>8076</v>
      </c>
      <c r="U94" s="7">
        <v>2283</v>
      </c>
      <c r="V94" s="7">
        <v>2801</v>
      </c>
      <c r="W94" s="7">
        <v>999124.20799999801</v>
      </c>
      <c r="X94" s="7">
        <v>4970752.3039999902</v>
      </c>
      <c r="Y94" s="7">
        <v>914361.61599999899</v>
      </c>
      <c r="Z94" s="7">
        <v>113274.56</v>
      </c>
      <c r="AA94" s="7">
        <v>583589.00799999898</v>
      </c>
      <c r="AB94" s="11">
        <f t="shared" si="4"/>
        <v>206250248</v>
      </c>
    </row>
    <row r="95" spans="1:28" x14ac:dyDescent="0.25">
      <c r="A95" t="str">
        <f t="shared" si="5"/>
        <v>Waihou-Piako</v>
      </c>
      <c r="B95" t="str">
        <f t="shared" si="5"/>
        <v>low-init-intervention</v>
      </c>
      <c r="C95">
        <v>5</v>
      </c>
      <c r="D95" s="11">
        <v>1349492286</v>
      </c>
      <c r="E95" s="11">
        <v>1146341744</v>
      </c>
      <c r="F95" s="11">
        <v>359681109</v>
      </c>
      <c r="G95" s="7">
        <v>2760</v>
      </c>
      <c r="H95" s="7">
        <v>2171</v>
      </c>
      <c r="I95" s="7">
        <v>3262</v>
      </c>
      <c r="J95" s="7">
        <v>3113</v>
      </c>
      <c r="K95" s="7">
        <v>10968</v>
      </c>
      <c r="L95" s="7">
        <v>7909</v>
      </c>
      <c r="M95" s="7">
        <v>10695</v>
      </c>
      <c r="N95" s="7">
        <v>10968</v>
      </c>
      <c r="O95" s="9">
        <v>0.25159999999999999</v>
      </c>
      <c r="P95" s="9">
        <v>0.27450000000000002</v>
      </c>
      <c r="Q95" s="9">
        <v>0.30499999999999999</v>
      </c>
      <c r="R95" s="9">
        <v>0.2838</v>
      </c>
      <c r="S95" s="7">
        <v>273</v>
      </c>
      <c r="T95" s="7">
        <v>7909</v>
      </c>
      <c r="U95" s="7">
        <v>2451</v>
      </c>
      <c r="V95" s="7">
        <v>2786</v>
      </c>
      <c r="W95" s="7">
        <v>920156.00000000198</v>
      </c>
      <c r="X95" s="7">
        <v>4696218.0319999699</v>
      </c>
      <c r="Y95" s="7">
        <v>807432.65599999798</v>
      </c>
      <c r="Z95" s="7">
        <v>104195.16800000001</v>
      </c>
      <c r="AA95" s="7">
        <v>524293.23199999996</v>
      </c>
      <c r="AB95" s="11">
        <f t="shared" si="4"/>
        <v>203150542</v>
      </c>
    </row>
    <row r="96" spans="1:28" x14ac:dyDescent="0.25">
      <c r="A96" t="str">
        <f t="shared" si="5"/>
        <v>Waihou-Piako</v>
      </c>
      <c r="B96" t="str">
        <f t="shared" si="5"/>
        <v>low-init-intervention</v>
      </c>
      <c r="C96">
        <v>6</v>
      </c>
      <c r="D96" s="11">
        <v>1337037177</v>
      </c>
      <c r="E96" s="11">
        <v>1138388719</v>
      </c>
      <c r="F96" s="11">
        <v>349211098</v>
      </c>
      <c r="G96" s="7">
        <v>3159</v>
      </c>
      <c r="H96" s="7">
        <v>2589</v>
      </c>
      <c r="I96" s="7">
        <v>3648</v>
      </c>
      <c r="J96" s="7">
        <v>3623</v>
      </c>
      <c r="K96" s="7">
        <v>10780</v>
      </c>
      <c r="L96" s="7">
        <v>7746</v>
      </c>
      <c r="M96" s="7">
        <v>10502</v>
      </c>
      <c r="N96" s="7">
        <v>10780</v>
      </c>
      <c r="O96" s="9">
        <v>0.29299999999999998</v>
      </c>
      <c r="P96" s="9">
        <v>0.3342</v>
      </c>
      <c r="Q96" s="9">
        <v>0.34739999999999999</v>
      </c>
      <c r="R96" s="9">
        <v>0.33610000000000001</v>
      </c>
      <c r="S96" s="7">
        <v>278</v>
      </c>
      <c r="T96" s="7">
        <v>7746</v>
      </c>
      <c r="U96" s="7">
        <v>2639</v>
      </c>
      <c r="V96" s="7">
        <v>2756</v>
      </c>
      <c r="W96" s="7">
        <v>850773.055999998</v>
      </c>
      <c r="X96" s="7">
        <v>4476370.41599999</v>
      </c>
      <c r="Y96" s="7">
        <v>743854.52799999795</v>
      </c>
      <c r="Z96" s="7">
        <v>97539.6800000004</v>
      </c>
      <c r="AA96" s="7">
        <v>479993.136</v>
      </c>
      <c r="AB96" s="11">
        <f t="shared" si="4"/>
        <v>198648458</v>
      </c>
    </row>
    <row r="97" spans="1:28" x14ac:dyDescent="0.25">
      <c r="A97" t="str">
        <f t="shared" si="5"/>
        <v>Waihou-Piako</v>
      </c>
      <c r="B97" t="str">
        <f t="shared" si="5"/>
        <v>low-init-intervention</v>
      </c>
      <c r="C97">
        <v>7</v>
      </c>
      <c r="D97" s="11">
        <v>1323436705</v>
      </c>
      <c r="E97" s="11">
        <v>1129932724</v>
      </c>
      <c r="F97" s="11">
        <v>367556412</v>
      </c>
      <c r="G97" s="7">
        <v>3633</v>
      </c>
      <c r="H97" s="7">
        <v>2872</v>
      </c>
      <c r="I97" s="7">
        <v>4023</v>
      </c>
      <c r="J97" s="7">
        <v>3918</v>
      </c>
      <c r="K97" s="7">
        <v>10549</v>
      </c>
      <c r="L97" s="7">
        <v>7567</v>
      </c>
      <c r="M97" s="7">
        <v>10283</v>
      </c>
      <c r="N97" s="7">
        <v>10549</v>
      </c>
      <c r="O97" s="9">
        <v>0.34439999999999998</v>
      </c>
      <c r="P97" s="9">
        <v>0.3795</v>
      </c>
      <c r="Q97" s="9">
        <v>0.39119999999999999</v>
      </c>
      <c r="R97" s="9">
        <v>0.37140000000000001</v>
      </c>
      <c r="S97" s="7">
        <v>266</v>
      </c>
      <c r="T97" s="7">
        <v>7567</v>
      </c>
      <c r="U97" s="7">
        <v>2870</v>
      </c>
      <c r="V97" s="7">
        <v>2716</v>
      </c>
      <c r="W97" s="7">
        <v>774307.91999999899</v>
      </c>
      <c r="X97" s="7">
        <v>4237261.8399999896</v>
      </c>
      <c r="Y97" s="7">
        <v>655977.631999998</v>
      </c>
      <c r="Z97" s="7">
        <v>90389.312000000005</v>
      </c>
      <c r="AA97" s="7">
        <v>432697.02399999899</v>
      </c>
      <c r="AB97" s="11">
        <f t="shared" si="4"/>
        <v>193503981</v>
      </c>
    </row>
    <row r="98" spans="1:28" x14ac:dyDescent="0.25">
      <c r="A98" t="str">
        <f t="shared" si="5"/>
        <v>Waihou-Piako</v>
      </c>
      <c r="B98" t="str">
        <f t="shared" si="5"/>
        <v>low-init-intervention</v>
      </c>
      <c r="C98">
        <v>8</v>
      </c>
      <c r="D98" s="11">
        <v>1308919734</v>
      </c>
      <c r="E98" s="11">
        <v>1119884897</v>
      </c>
      <c r="F98" s="11">
        <v>387460122</v>
      </c>
      <c r="G98" s="7">
        <v>4032</v>
      </c>
      <c r="H98" s="7">
        <v>3081</v>
      </c>
      <c r="I98" s="7">
        <v>4416</v>
      </c>
      <c r="J98" s="7">
        <v>4224</v>
      </c>
      <c r="K98" s="7">
        <v>10379</v>
      </c>
      <c r="L98" s="7">
        <v>7406</v>
      </c>
      <c r="M98" s="7">
        <v>10098</v>
      </c>
      <c r="N98" s="7">
        <v>10379</v>
      </c>
      <c r="O98" s="9">
        <v>0.38850000000000001</v>
      </c>
      <c r="P98" s="9">
        <v>0.41599999999999998</v>
      </c>
      <c r="Q98" s="9">
        <v>0.43730000000000002</v>
      </c>
      <c r="R98" s="9">
        <v>0.40699999999999997</v>
      </c>
      <c r="S98" s="7">
        <v>281</v>
      </c>
      <c r="T98" s="7">
        <v>7406</v>
      </c>
      <c r="U98" s="7">
        <v>3040</v>
      </c>
      <c r="V98" s="7">
        <v>2692</v>
      </c>
      <c r="W98" s="7">
        <v>686746.03199999896</v>
      </c>
      <c r="X98" s="7">
        <v>4029570.2560000098</v>
      </c>
      <c r="Y98" s="7">
        <v>602409.728</v>
      </c>
      <c r="Z98" s="7">
        <v>84271.472000000198</v>
      </c>
      <c r="AA98" s="7">
        <v>391614.99199999898</v>
      </c>
      <c r="AB98" s="11">
        <f t="shared" si="4"/>
        <v>189034837</v>
      </c>
    </row>
    <row r="99" spans="1:28" x14ac:dyDescent="0.25">
      <c r="A99" t="str">
        <f t="shared" si="5"/>
        <v>Waihou-Piako</v>
      </c>
      <c r="B99" t="str">
        <f t="shared" si="5"/>
        <v>low-init-intervention</v>
      </c>
      <c r="C99">
        <v>9</v>
      </c>
      <c r="D99" s="11">
        <v>1297466811</v>
      </c>
      <c r="E99" s="11">
        <v>1111186155</v>
      </c>
      <c r="F99" s="11">
        <v>396337243</v>
      </c>
      <c r="G99" s="7">
        <v>4328</v>
      </c>
      <c r="H99" s="7">
        <v>3259</v>
      </c>
      <c r="I99" s="7">
        <v>4715</v>
      </c>
      <c r="J99" s="7">
        <v>4496</v>
      </c>
      <c r="K99" s="7">
        <v>10182</v>
      </c>
      <c r="L99" s="7">
        <v>7225</v>
      </c>
      <c r="M99" s="7">
        <v>9894</v>
      </c>
      <c r="N99" s="7">
        <v>10182</v>
      </c>
      <c r="O99" s="9">
        <v>0.42509999999999998</v>
      </c>
      <c r="P99" s="9">
        <v>0.4511</v>
      </c>
      <c r="Q99" s="9">
        <v>0.47660000000000002</v>
      </c>
      <c r="R99" s="9">
        <v>0.44159999999999999</v>
      </c>
      <c r="S99" s="7">
        <v>288</v>
      </c>
      <c r="T99" s="7">
        <v>7225</v>
      </c>
      <c r="U99" s="7">
        <v>3237</v>
      </c>
      <c r="V99" s="7">
        <v>2669</v>
      </c>
      <c r="W99" s="7">
        <v>615222.73599999805</v>
      </c>
      <c r="X99" s="7">
        <v>3845561.9679999901</v>
      </c>
      <c r="Y99" s="7">
        <v>549166.75199999905</v>
      </c>
      <c r="Z99" s="7">
        <v>78624.032000000094</v>
      </c>
      <c r="AA99" s="7">
        <v>357156.19199999899</v>
      </c>
      <c r="AB99" s="11">
        <f t="shared" si="4"/>
        <v>186280656</v>
      </c>
    </row>
    <row r="100" spans="1:28" x14ac:dyDescent="0.25">
      <c r="A100" s="5" t="str">
        <f t="shared" si="5"/>
        <v>Waihou-Piako</v>
      </c>
      <c r="B100" s="5" t="str">
        <f t="shared" si="5"/>
        <v>low-init-intervention</v>
      </c>
      <c r="C100" s="5">
        <v>10</v>
      </c>
      <c r="D100" s="12">
        <v>1282617395</v>
      </c>
      <c r="E100" s="12">
        <v>1100895938</v>
      </c>
      <c r="F100" s="12">
        <v>377979084</v>
      </c>
      <c r="G100" s="8">
        <v>4570</v>
      </c>
      <c r="H100" s="8">
        <v>3407</v>
      </c>
      <c r="I100" s="8">
        <v>5096</v>
      </c>
      <c r="J100" s="8">
        <v>4719</v>
      </c>
      <c r="K100" s="8">
        <v>10032</v>
      </c>
      <c r="L100" s="8">
        <v>7075</v>
      </c>
      <c r="M100" s="8">
        <v>9725</v>
      </c>
      <c r="N100" s="8">
        <v>10032</v>
      </c>
      <c r="O100" s="10">
        <v>0.45550000000000002</v>
      </c>
      <c r="P100" s="10">
        <v>0.48159999999999997</v>
      </c>
      <c r="Q100" s="10">
        <v>0.52400000000000002</v>
      </c>
      <c r="R100" s="10">
        <v>0.47039999999999998</v>
      </c>
      <c r="S100" s="8">
        <v>307</v>
      </c>
      <c r="T100" s="8">
        <v>7075</v>
      </c>
      <c r="U100" s="8">
        <v>3387</v>
      </c>
      <c r="V100" s="8">
        <v>2650</v>
      </c>
      <c r="W100" s="8">
        <v>538126.35199999996</v>
      </c>
      <c r="X100" s="8">
        <v>3666015.28</v>
      </c>
      <c r="Y100" s="8">
        <v>514087.98399999802</v>
      </c>
      <c r="Z100" s="8">
        <v>74118.448000000193</v>
      </c>
      <c r="AA100" s="8">
        <v>329637.75999999902</v>
      </c>
      <c r="AB100" s="12">
        <f t="shared" si="4"/>
        <v>181721457</v>
      </c>
    </row>
    <row r="101" spans="1:28" x14ac:dyDescent="0.25">
      <c r="A101" t="str">
        <f t="shared" si="5"/>
        <v>Waihou-Piako</v>
      </c>
      <c r="B101" t="str">
        <f>Scenario!K2</f>
        <v>high-debt</v>
      </c>
      <c r="C101">
        <v>0</v>
      </c>
      <c r="D101" s="11">
        <v>1414664765</v>
      </c>
      <c r="E101" s="11">
        <v>1196543938</v>
      </c>
      <c r="F101" s="11">
        <v>456936547</v>
      </c>
      <c r="G101" s="7">
        <v>1332</v>
      </c>
      <c r="H101" s="7">
        <v>840</v>
      </c>
      <c r="I101" s="7">
        <v>1219</v>
      </c>
      <c r="J101" s="7">
        <v>1267</v>
      </c>
      <c r="K101" s="7">
        <v>12351</v>
      </c>
      <c r="L101" s="7">
        <v>9078</v>
      </c>
      <c r="M101" s="7">
        <v>12167</v>
      </c>
      <c r="N101" s="7">
        <v>12351</v>
      </c>
      <c r="O101" s="9">
        <v>0.10780000000000001</v>
      </c>
      <c r="P101" s="9">
        <v>9.2499999999999999E-2</v>
      </c>
      <c r="Q101" s="9">
        <v>0.1002</v>
      </c>
      <c r="R101" s="9">
        <v>0.1026</v>
      </c>
      <c r="S101" s="7">
        <v>184</v>
      </c>
      <c r="T101" s="7">
        <v>9078</v>
      </c>
      <c r="U101" s="7">
        <v>1068</v>
      </c>
      <c r="V101" s="7">
        <v>3089</v>
      </c>
      <c r="W101" s="7">
        <v>1379504.32</v>
      </c>
      <c r="X101" s="7">
        <v>5738137.5199999996</v>
      </c>
      <c r="Y101" s="7">
        <v>1133321.15199999</v>
      </c>
      <c r="Z101" s="7">
        <v>133573.856</v>
      </c>
      <c r="AA101" s="7">
        <v>724425.82399999897</v>
      </c>
      <c r="AB101" s="11">
        <f t="shared" si="4"/>
        <v>218120827</v>
      </c>
    </row>
    <row r="102" spans="1:28" x14ac:dyDescent="0.25">
      <c r="A102" t="str">
        <f t="shared" si="5"/>
        <v>Waihou-Piako</v>
      </c>
      <c r="B102" t="str">
        <f>B101</f>
        <v>high-debt</v>
      </c>
      <c r="C102">
        <v>1</v>
      </c>
      <c r="D102" s="11">
        <v>1414355374</v>
      </c>
      <c r="E102" s="11">
        <v>1195580426</v>
      </c>
      <c r="F102" s="11">
        <v>578313556</v>
      </c>
      <c r="G102" s="7">
        <v>1883</v>
      </c>
      <c r="H102" s="7">
        <v>1222</v>
      </c>
      <c r="I102" s="7">
        <v>1816</v>
      </c>
      <c r="J102" s="7">
        <v>1794</v>
      </c>
      <c r="K102" s="7">
        <v>11957</v>
      </c>
      <c r="L102" s="7">
        <v>8727</v>
      </c>
      <c r="M102" s="7">
        <v>11745</v>
      </c>
      <c r="N102" s="7">
        <v>11957</v>
      </c>
      <c r="O102" s="9">
        <v>0.1575</v>
      </c>
      <c r="P102" s="9">
        <v>0.14000000000000001</v>
      </c>
      <c r="Q102" s="9">
        <v>0.15459999999999999</v>
      </c>
      <c r="R102" s="9">
        <v>0.15</v>
      </c>
      <c r="S102" s="7">
        <v>212</v>
      </c>
      <c r="T102" s="7">
        <v>8727</v>
      </c>
      <c r="U102" s="7">
        <v>1462</v>
      </c>
      <c r="V102" s="7">
        <v>3018</v>
      </c>
      <c r="W102" s="7">
        <v>1379442.71999999</v>
      </c>
      <c r="X102" s="7">
        <v>5738698.1279999996</v>
      </c>
      <c r="Y102" s="7">
        <v>1133888.91199999</v>
      </c>
      <c r="Z102" s="7">
        <v>133519.21599999999</v>
      </c>
      <c r="AA102" s="7">
        <v>724125.34400000097</v>
      </c>
      <c r="AB102" s="11">
        <f t="shared" si="4"/>
        <v>218774948</v>
      </c>
    </row>
    <row r="103" spans="1:28" x14ac:dyDescent="0.25">
      <c r="A103" t="str">
        <f t="shared" si="5"/>
        <v>Waihou-Piako</v>
      </c>
      <c r="B103" t="str">
        <f t="shared" si="5"/>
        <v>high-debt</v>
      </c>
      <c r="C103">
        <v>2</v>
      </c>
      <c r="D103" s="11">
        <v>1387482296</v>
      </c>
      <c r="E103" s="11">
        <v>1176189269</v>
      </c>
      <c r="F103" s="11">
        <v>590710081</v>
      </c>
      <c r="G103" s="7">
        <v>2392</v>
      </c>
      <c r="H103" s="7">
        <v>1543</v>
      </c>
      <c r="I103" s="7">
        <v>2273</v>
      </c>
      <c r="J103" s="7">
        <v>2329</v>
      </c>
      <c r="K103" s="7">
        <v>11480</v>
      </c>
      <c r="L103" s="7">
        <v>8288</v>
      </c>
      <c r="M103" s="7">
        <v>11240</v>
      </c>
      <c r="N103" s="7">
        <v>11480</v>
      </c>
      <c r="O103" s="9">
        <v>0.2084</v>
      </c>
      <c r="P103" s="9">
        <v>0.1862</v>
      </c>
      <c r="Q103" s="9">
        <v>0.20219999999999999</v>
      </c>
      <c r="R103" s="9">
        <v>0.2029</v>
      </c>
      <c r="S103" s="7">
        <v>240</v>
      </c>
      <c r="T103" s="7">
        <v>8288</v>
      </c>
      <c r="U103" s="7">
        <v>1939</v>
      </c>
      <c r="V103" s="7">
        <v>2952</v>
      </c>
      <c r="W103" s="7">
        <v>1224353.216</v>
      </c>
      <c r="X103" s="7">
        <v>5361287.4400000097</v>
      </c>
      <c r="Y103" s="7">
        <v>1009823.93599999</v>
      </c>
      <c r="Z103" s="7">
        <v>122081.68</v>
      </c>
      <c r="AA103" s="7">
        <v>647814.33599999896</v>
      </c>
      <c r="AB103" s="11">
        <f t="shared" si="4"/>
        <v>211293027</v>
      </c>
    </row>
    <row r="104" spans="1:28" x14ac:dyDescent="0.25">
      <c r="A104" t="str">
        <f t="shared" si="5"/>
        <v>Waihou-Piako</v>
      </c>
      <c r="B104" t="str">
        <f t="shared" si="5"/>
        <v>high-debt</v>
      </c>
      <c r="C104">
        <v>3</v>
      </c>
      <c r="D104" s="11">
        <v>1356163897</v>
      </c>
      <c r="E104" s="11">
        <v>1151886120</v>
      </c>
      <c r="F104" s="11">
        <v>548971635</v>
      </c>
      <c r="G104" s="7">
        <v>2913</v>
      </c>
      <c r="H104" s="7">
        <v>1873</v>
      </c>
      <c r="I104" s="7">
        <v>2800</v>
      </c>
      <c r="J104" s="7">
        <v>2767</v>
      </c>
      <c r="K104" s="7">
        <v>11254</v>
      </c>
      <c r="L104" s="7">
        <v>8075</v>
      </c>
      <c r="M104" s="7">
        <v>11027</v>
      </c>
      <c r="N104" s="7">
        <v>11254</v>
      </c>
      <c r="O104" s="9">
        <v>0.25879999999999997</v>
      </c>
      <c r="P104" s="9">
        <v>0.23200000000000001</v>
      </c>
      <c r="Q104" s="9">
        <v>0.25390000000000001</v>
      </c>
      <c r="R104" s="9">
        <v>0.24590000000000001</v>
      </c>
      <c r="S104" s="7">
        <v>227</v>
      </c>
      <c r="T104" s="7">
        <v>8075</v>
      </c>
      <c r="U104" s="7">
        <v>2165</v>
      </c>
      <c r="V104" s="7">
        <v>2952</v>
      </c>
      <c r="W104" s="7">
        <v>1038216.52799999</v>
      </c>
      <c r="X104" s="7">
        <v>4949834.2240000004</v>
      </c>
      <c r="Y104" s="7">
        <v>889912.19199999899</v>
      </c>
      <c r="Z104" s="7">
        <v>110852.144</v>
      </c>
      <c r="AA104" s="7">
        <v>572280.99199999997</v>
      </c>
      <c r="AB104" s="11">
        <f t="shared" si="4"/>
        <v>204277777</v>
      </c>
    </row>
    <row r="105" spans="1:28" x14ac:dyDescent="0.25">
      <c r="A105" t="str">
        <f t="shared" si="5"/>
        <v>Waihou-Piako</v>
      </c>
      <c r="B105" t="str">
        <f t="shared" si="5"/>
        <v>high-debt</v>
      </c>
      <c r="C105">
        <v>4</v>
      </c>
      <c r="D105" s="11">
        <v>1337264738</v>
      </c>
      <c r="E105" s="11">
        <v>1138056579</v>
      </c>
      <c r="F105" s="11">
        <v>467275396</v>
      </c>
      <c r="G105" s="7">
        <v>3379</v>
      </c>
      <c r="H105" s="7">
        <v>2147</v>
      </c>
      <c r="I105" s="7">
        <v>3248</v>
      </c>
      <c r="J105" s="7">
        <v>3147</v>
      </c>
      <c r="K105" s="7">
        <v>11017</v>
      </c>
      <c r="L105" s="7">
        <v>7861</v>
      </c>
      <c r="M105" s="7">
        <v>10763</v>
      </c>
      <c r="N105" s="7">
        <v>11017</v>
      </c>
      <c r="O105" s="9">
        <v>0.30669999999999997</v>
      </c>
      <c r="P105" s="9">
        <v>0.27310000000000001</v>
      </c>
      <c r="Q105" s="9">
        <v>0.30180000000000001</v>
      </c>
      <c r="R105" s="9">
        <v>0.28560000000000002</v>
      </c>
      <c r="S105" s="7">
        <v>254</v>
      </c>
      <c r="T105" s="7">
        <v>7861</v>
      </c>
      <c r="U105" s="7">
        <v>2402</v>
      </c>
      <c r="V105" s="7">
        <v>2902</v>
      </c>
      <c r="W105" s="7">
        <v>943415.02399999904</v>
      </c>
      <c r="X105" s="7">
        <v>4682871.3600000096</v>
      </c>
      <c r="Y105" s="7">
        <v>810312.99199999799</v>
      </c>
      <c r="Z105" s="7">
        <v>102291.632</v>
      </c>
      <c r="AA105" s="7">
        <v>517429.05599999998</v>
      </c>
      <c r="AB105" s="11">
        <f t="shared" si="4"/>
        <v>199208159</v>
      </c>
    </row>
    <row r="106" spans="1:28" x14ac:dyDescent="0.25">
      <c r="A106" t="str">
        <f t="shared" si="5"/>
        <v>Waihou-Piako</v>
      </c>
      <c r="B106" t="str">
        <f t="shared" si="5"/>
        <v>high-debt</v>
      </c>
      <c r="C106">
        <v>5</v>
      </c>
      <c r="D106" s="11">
        <v>1322059127</v>
      </c>
      <c r="E106" s="11">
        <v>1127463928</v>
      </c>
      <c r="F106" s="11">
        <v>437329086</v>
      </c>
      <c r="G106" s="7">
        <v>3800</v>
      </c>
      <c r="H106" s="7">
        <v>2390</v>
      </c>
      <c r="I106" s="7">
        <v>3637</v>
      </c>
      <c r="J106" s="7">
        <v>3496</v>
      </c>
      <c r="K106" s="7">
        <v>10825</v>
      </c>
      <c r="L106" s="7">
        <v>7686</v>
      </c>
      <c r="M106" s="7">
        <v>10563</v>
      </c>
      <c r="N106" s="7">
        <v>10825</v>
      </c>
      <c r="O106" s="9">
        <v>0.35099999999999998</v>
      </c>
      <c r="P106" s="9">
        <v>0.311</v>
      </c>
      <c r="Q106" s="9">
        <v>0.34429999999999999</v>
      </c>
      <c r="R106" s="9">
        <v>0.32300000000000001</v>
      </c>
      <c r="S106" s="7">
        <v>262</v>
      </c>
      <c r="T106" s="7">
        <v>7686</v>
      </c>
      <c r="U106" s="7">
        <v>2594</v>
      </c>
      <c r="V106" s="7">
        <v>2877</v>
      </c>
      <c r="W106" s="7">
        <v>848928.78400000103</v>
      </c>
      <c r="X106" s="7">
        <v>4450490.4319999898</v>
      </c>
      <c r="Y106" s="7">
        <v>724845.96799999895</v>
      </c>
      <c r="Z106" s="7">
        <v>95056.767999999996</v>
      </c>
      <c r="AA106" s="7">
        <v>468144.38399999897</v>
      </c>
      <c r="AB106" s="11">
        <f t="shared" si="4"/>
        <v>194595199</v>
      </c>
    </row>
    <row r="107" spans="1:28" x14ac:dyDescent="0.25">
      <c r="A107" t="str">
        <f t="shared" si="5"/>
        <v>Waihou-Piako</v>
      </c>
      <c r="B107" t="str">
        <f t="shared" si="5"/>
        <v>high-debt</v>
      </c>
      <c r="C107">
        <v>6</v>
      </c>
      <c r="D107" s="11">
        <v>1308220309</v>
      </c>
      <c r="E107" s="11">
        <v>1119522175</v>
      </c>
      <c r="F107" s="11">
        <v>415090950</v>
      </c>
      <c r="G107" s="7">
        <v>4219</v>
      </c>
      <c r="H107" s="7">
        <v>2684</v>
      </c>
      <c r="I107" s="7">
        <v>4088</v>
      </c>
      <c r="J107" s="7">
        <v>3860</v>
      </c>
      <c r="K107" s="7">
        <v>10644</v>
      </c>
      <c r="L107" s="7">
        <v>7524</v>
      </c>
      <c r="M107" s="7">
        <v>10377</v>
      </c>
      <c r="N107" s="7">
        <v>10644</v>
      </c>
      <c r="O107" s="9">
        <v>0.39639999999999997</v>
      </c>
      <c r="P107" s="9">
        <v>0.35670000000000002</v>
      </c>
      <c r="Q107" s="9">
        <v>0.39389999999999997</v>
      </c>
      <c r="R107" s="9">
        <v>0.36259999999999998</v>
      </c>
      <c r="S107" s="7">
        <v>267</v>
      </c>
      <c r="T107" s="7">
        <v>7524</v>
      </c>
      <c r="U107" s="7">
        <v>2775</v>
      </c>
      <c r="V107" s="7">
        <v>2853</v>
      </c>
      <c r="W107" s="7">
        <v>774876.175999998</v>
      </c>
      <c r="X107" s="7">
        <v>4242578.5439999998</v>
      </c>
      <c r="Y107" s="7">
        <v>664328.06399999699</v>
      </c>
      <c r="Z107" s="7">
        <v>88944.128000000099</v>
      </c>
      <c r="AA107" s="7">
        <v>428768.63999999798</v>
      </c>
      <c r="AB107" s="11">
        <f t="shared" si="4"/>
        <v>188698134</v>
      </c>
    </row>
    <row r="108" spans="1:28" x14ac:dyDescent="0.25">
      <c r="A108" t="str">
        <f t="shared" si="5"/>
        <v>Waihou-Piako</v>
      </c>
      <c r="B108" t="str">
        <f t="shared" si="5"/>
        <v>high-debt</v>
      </c>
      <c r="C108">
        <v>7</v>
      </c>
      <c r="D108" s="11">
        <v>1295524292</v>
      </c>
      <c r="E108" s="11">
        <v>1110767501</v>
      </c>
      <c r="F108" s="11">
        <v>424645560</v>
      </c>
      <c r="G108" s="7">
        <v>4561</v>
      </c>
      <c r="H108" s="7">
        <v>2861</v>
      </c>
      <c r="I108" s="7">
        <v>4430</v>
      </c>
      <c r="J108" s="7">
        <v>4264</v>
      </c>
      <c r="K108" s="7">
        <v>10467</v>
      </c>
      <c r="L108" s="7">
        <v>7376</v>
      </c>
      <c r="M108" s="7">
        <v>10180</v>
      </c>
      <c r="N108" s="7">
        <v>10467</v>
      </c>
      <c r="O108" s="9">
        <v>0.43580000000000002</v>
      </c>
      <c r="P108" s="9">
        <v>0.38790000000000002</v>
      </c>
      <c r="Q108" s="9">
        <v>0.43519999999999998</v>
      </c>
      <c r="R108" s="9">
        <v>0.40739999999999998</v>
      </c>
      <c r="S108" s="7">
        <v>287</v>
      </c>
      <c r="T108" s="7">
        <v>7376</v>
      </c>
      <c r="U108" s="7">
        <v>2952</v>
      </c>
      <c r="V108" s="7">
        <v>2804</v>
      </c>
      <c r="W108" s="7">
        <v>698896.14399999997</v>
      </c>
      <c r="X108" s="7">
        <v>4034714.9119999902</v>
      </c>
      <c r="Y108" s="7">
        <v>600113.75999999803</v>
      </c>
      <c r="Z108" s="7">
        <v>82902.272000000405</v>
      </c>
      <c r="AA108" s="7">
        <v>389852.08000000101</v>
      </c>
      <c r="AB108" s="11">
        <f t="shared" si="4"/>
        <v>184756791</v>
      </c>
    </row>
    <row r="109" spans="1:28" x14ac:dyDescent="0.25">
      <c r="A109" t="str">
        <f t="shared" si="5"/>
        <v>Waihou-Piako</v>
      </c>
      <c r="B109" t="str">
        <f t="shared" si="5"/>
        <v>high-debt</v>
      </c>
      <c r="C109">
        <v>8</v>
      </c>
      <c r="D109" s="11">
        <v>1287307206</v>
      </c>
      <c r="E109" s="11">
        <v>1103640002</v>
      </c>
      <c r="F109" s="11">
        <v>424001982</v>
      </c>
      <c r="G109" s="7">
        <v>4828</v>
      </c>
      <c r="H109" s="7">
        <v>3038</v>
      </c>
      <c r="I109" s="7">
        <v>4696</v>
      </c>
      <c r="J109" s="7">
        <v>4489</v>
      </c>
      <c r="K109" s="7">
        <v>10282</v>
      </c>
      <c r="L109" s="7">
        <v>7210</v>
      </c>
      <c r="M109" s="7">
        <v>9984</v>
      </c>
      <c r="N109" s="7">
        <v>10282</v>
      </c>
      <c r="O109" s="9">
        <v>0.46960000000000002</v>
      </c>
      <c r="P109" s="9">
        <v>0.4214</v>
      </c>
      <c r="Q109" s="9">
        <v>0.47039999999999998</v>
      </c>
      <c r="R109" s="9">
        <v>0.43659999999999999</v>
      </c>
      <c r="S109" s="7">
        <v>298</v>
      </c>
      <c r="T109" s="7">
        <v>7210</v>
      </c>
      <c r="U109" s="7">
        <v>3137</v>
      </c>
      <c r="V109" s="7">
        <v>2774</v>
      </c>
      <c r="W109" s="7">
        <v>629958.04799999995</v>
      </c>
      <c r="X109" s="7">
        <v>3853656.4640000002</v>
      </c>
      <c r="Y109" s="7">
        <v>549234.86399999994</v>
      </c>
      <c r="Z109" s="7">
        <v>77762.9120000002</v>
      </c>
      <c r="AA109" s="7">
        <v>355075.05599999998</v>
      </c>
      <c r="AB109" s="11">
        <f t="shared" si="4"/>
        <v>183667204</v>
      </c>
    </row>
    <row r="110" spans="1:28" x14ac:dyDescent="0.25">
      <c r="A110" t="str">
        <f t="shared" si="5"/>
        <v>Waihou-Piako</v>
      </c>
      <c r="B110" t="str">
        <f t="shared" si="5"/>
        <v>high-debt</v>
      </c>
      <c r="C110">
        <v>9</v>
      </c>
      <c r="D110" s="11">
        <v>1274725603</v>
      </c>
      <c r="E110" s="11">
        <v>1095691544</v>
      </c>
      <c r="F110" s="11">
        <v>438524165</v>
      </c>
      <c r="G110" s="7">
        <v>5150</v>
      </c>
      <c r="H110" s="7">
        <v>3165</v>
      </c>
      <c r="I110" s="7">
        <v>4942</v>
      </c>
      <c r="J110" s="7">
        <v>4719</v>
      </c>
      <c r="K110" s="7">
        <v>10104</v>
      </c>
      <c r="L110" s="7">
        <v>7015</v>
      </c>
      <c r="M110" s="7">
        <v>9802</v>
      </c>
      <c r="N110" s="7">
        <v>10104</v>
      </c>
      <c r="O110" s="9">
        <v>0.50970000000000004</v>
      </c>
      <c r="P110" s="9">
        <v>0.45119999999999999</v>
      </c>
      <c r="Q110" s="9">
        <v>0.50419999999999998</v>
      </c>
      <c r="R110" s="9">
        <v>0.46700000000000003</v>
      </c>
      <c r="S110" s="7">
        <v>302</v>
      </c>
      <c r="T110" s="7">
        <v>7015</v>
      </c>
      <c r="U110" s="7">
        <v>3315</v>
      </c>
      <c r="V110" s="7">
        <v>2787</v>
      </c>
      <c r="W110" s="7">
        <v>557103.13599999901</v>
      </c>
      <c r="X110" s="7">
        <v>3689110.9280000101</v>
      </c>
      <c r="Y110" s="7">
        <v>516931.48799999797</v>
      </c>
      <c r="Z110" s="7">
        <v>73553.631999999794</v>
      </c>
      <c r="AA110" s="7">
        <v>329391.37599999999</v>
      </c>
      <c r="AB110" s="11">
        <f t="shared" si="4"/>
        <v>179034059</v>
      </c>
    </row>
    <row r="111" spans="1:28" x14ac:dyDescent="0.25">
      <c r="A111" s="5" t="str">
        <f t="shared" si="5"/>
        <v>Waihou-Piako</v>
      </c>
      <c r="B111" s="5" t="str">
        <f t="shared" si="5"/>
        <v>high-debt</v>
      </c>
      <c r="C111" s="5">
        <v>10</v>
      </c>
      <c r="D111" s="12">
        <v>1259425812</v>
      </c>
      <c r="E111" s="12">
        <v>1083590346</v>
      </c>
      <c r="F111" s="12">
        <v>428972213</v>
      </c>
      <c r="G111" s="8">
        <v>5341</v>
      </c>
      <c r="H111" s="8">
        <v>3338</v>
      </c>
      <c r="I111" s="8">
        <v>5188</v>
      </c>
      <c r="J111" s="8">
        <v>4914</v>
      </c>
      <c r="K111" s="8">
        <v>9897</v>
      </c>
      <c r="L111" s="8">
        <v>6836</v>
      </c>
      <c r="M111" s="8">
        <v>9576</v>
      </c>
      <c r="N111" s="8">
        <v>9897</v>
      </c>
      <c r="O111" s="10">
        <v>0.53969999999999996</v>
      </c>
      <c r="P111" s="10">
        <v>0.48830000000000001</v>
      </c>
      <c r="Q111" s="10">
        <v>0.54179999999999995</v>
      </c>
      <c r="R111" s="10">
        <v>0.4965</v>
      </c>
      <c r="S111" s="8">
        <v>321</v>
      </c>
      <c r="T111" s="8">
        <v>6836</v>
      </c>
      <c r="U111" s="8">
        <v>3522</v>
      </c>
      <c r="V111" s="8">
        <v>2740</v>
      </c>
      <c r="W111" s="8">
        <v>485150.16000000102</v>
      </c>
      <c r="X111" s="8">
        <v>3515430.608</v>
      </c>
      <c r="Y111" s="8">
        <v>491848.54399999802</v>
      </c>
      <c r="Z111" s="8">
        <v>69280.719999999899</v>
      </c>
      <c r="AA111" s="8">
        <v>302988.35199999902</v>
      </c>
      <c r="AB111" s="12">
        <f t="shared" si="4"/>
        <v>175835466</v>
      </c>
    </row>
    <row r="112" spans="1:28" x14ac:dyDescent="0.25">
      <c r="A112" t="str">
        <f t="shared" si="5"/>
        <v>Waihou-Piako</v>
      </c>
      <c r="B112" t="str">
        <f>Scenario!L2</f>
        <v>n/a</v>
      </c>
      <c r="C112">
        <v>0</v>
      </c>
      <c r="D112" s="11"/>
      <c r="E112" s="11"/>
      <c r="F112" s="11"/>
      <c r="G112" s="7"/>
      <c r="H112" s="7"/>
      <c r="I112" s="7"/>
      <c r="J112" s="7"/>
      <c r="K112" s="7"/>
      <c r="L112" s="7"/>
      <c r="M112" s="7"/>
      <c r="N112" s="7"/>
      <c r="O112" s="9"/>
      <c r="P112" s="9"/>
      <c r="Q112" s="9"/>
      <c r="R112" s="9"/>
      <c r="S112" s="7"/>
      <c r="T112" s="7"/>
      <c r="U112" s="7"/>
      <c r="V112" s="7"/>
      <c r="W112" s="7"/>
      <c r="X112" s="7"/>
      <c r="Y112" s="7"/>
      <c r="Z112" s="7"/>
      <c r="AA112" s="7"/>
      <c r="AB112" s="11"/>
    </row>
    <row r="113" spans="1:28" x14ac:dyDescent="0.25">
      <c r="A113" t="str">
        <f t="shared" si="5"/>
        <v>Waihou-Piako</v>
      </c>
      <c r="B113" t="str">
        <f>B112</f>
        <v>n/a</v>
      </c>
      <c r="C113">
        <v>1</v>
      </c>
      <c r="D113" s="11"/>
      <c r="E113" s="11"/>
      <c r="F113" s="11"/>
      <c r="G113" s="7"/>
      <c r="H113" s="7"/>
      <c r="I113" s="7"/>
      <c r="J113" s="7"/>
      <c r="K113" s="7"/>
      <c r="L113" s="7"/>
      <c r="M113" s="7"/>
      <c r="N113" s="7"/>
      <c r="O113" s="9"/>
      <c r="P113" s="9"/>
      <c r="Q113" s="9"/>
      <c r="R113" s="9"/>
      <c r="S113" s="7"/>
      <c r="T113" s="7"/>
      <c r="U113" s="7"/>
      <c r="V113" s="7"/>
      <c r="W113" s="7"/>
      <c r="X113" s="7"/>
      <c r="Y113" s="7"/>
      <c r="Z113" s="7"/>
      <c r="AA113" s="7"/>
      <c r="AB113" s="11"/>
    </row>
    <row r="114" spans="1:28" x14ac:dyDescent="0.25">
      <c r="A114" t="str">
        <f t="shared" si="5"/>
        <v>Waihou-Piako</v>
      </c>
      <c r="B114" t="str">
        <f t="shared" si="5"/>
        <v>n/a</v>
      </c>
      <c r="C114">
        <v>2</v>
      </c>
      <c r="D114" s="11"/>
      <c r="E114" s="11"/>
      <c r="F114" s="11"/>
      <c r="G114" s="7"/>
      <c r="H114" s="7"/>
      <c r="I114" s="7"/>
      <c r="J114" s="7"/>
      <c r="K114" s="7"/>
      <c r="L114" s="7"/>
      <c r="M114" s="7"/>
      <c r="N114" s="7"/>
      <c r="O114" s="9"/>
      <c r="P114" s="9"/>
      <c r="Q114" s="9"/>
      <c r="R114" s="9"/>
      <c r="S114" s="7"/>
      <c r="T114" s="7"/>
      <c r="U114" s="7"/>
      <c r="V114" s="7"/>
      <c r="W114" s="7"/>
      <c r="X114" s="7"/>
      <c r="Y114" s="7"/>
      <c r="Z114" s="7"/>
      <c r="AA114" s="7"/>
      <c r="AB114" s="11"/>
    </row>
    <row r="115" spans="1:28" x14ac:dyDescent="0.25">
      <c r="A115" t="str">
        <f t="shared" si="5"/>
        <v>Waihou-Piako</v>
      </c>
      <c r="B115" t="str">
        <f t="shared" si="5"/>
        <v>n/a</v>
      </c>
      <c r="C115">
        <v>3</v>
      </c>
      <c r="D115" s="11"/>
      <c r="E115" s="11"/>
      <c r="F115" s="11"/>
      <c r="G115" s="7"/>
      <c r="H115" s="7"/>
      <c r="I115" s="7"/>
      <c r="J115" s="7"/>
      <c r="K115" s="7"/>
      <c r="L115" s="7"/>
      <c r="M115" s="7"/>
      <c r="N115" s="7"/>
      <c r="O115" s="9"/>
      <c r="P115" s="9"/>
      <c r="Q115" s="9"/>
      <c r="R115" s="9"/>
      <c r="S115" s="7"/>
      <c r="T115" s="7"/>
      <c r="U115" s="7"/>
      <c r="V115" s="7"/>
      <c r="W115" s="7"/>
      <c r="X115" s="7"/>
      <c r="Y115" s="7"/>
      <c r="Z115" s="7"/>
      <c r="AA115" s="7"/>
      <c r="AB115" s="11"/>
    </row>
    <row r="116" spans="1:28" x14ac:dyDescent="0.25">
      <c r="A116" t="str">
        <f t="shared" si="5"/>
        <v>Waihou-Piako</v>
      </c>
      <c r="B116" t="str">
        <f t="shared" si="5"/>
        <v>n/a</v>
      </c>
      <c r="C116">
        <v>4</v>
      </c>
      <c r="D116" s="11"/>
      <c r="E116" s="11"/>
      <c r="F116" s="11"/>
      <c r="G116" s="7"/>
      <c r="H116" s="7"/>
      <c r="I116" s="7"/>
      <c r="J116" s="7"/>
      <c r="K116" s="7"/>
      <c r="L116" s="7"/>
      <c r="M116" s="7"/>
      <c r="N116" s="7"/>
      <c r="O116" s="9"/>
      <c r="P116" s="9"/>
      <c r="Q116" s="9"/>
      <c r="R116" s="9"/>
      <c r="S116" s="7"/>
      <c r="T116" s="7"/>
      <c r="U116" s="7"/>
      <c r="V116" s="7"/>
      <c r="W116" s="7"/>
      <c r="X116" s="7"/>
      <c r="Y116" s="7"/>
      <c r="Z116" s="7"/>
      <c r="AA116" s="7"/>
      <c r="AB116" s="11"/>
    </row>
    <row r="117" spans="1:28" x14ac:dyDescent="0.25">
      <c r="A117" t="str">
        <f t="shared" si="5"/>
        <v>Waihou-Piako</v>
      </c>
      <c r="B117" t="str">
        <f t="shared" si="5"/>
        <v>n/a</v>
      </c>
      <c r="C117">
        <v>5</v>
      </c>
      <c r="D117" s="11"/>
      <c r="E117" s="11"/>
      <c r="F117" s="11"/>
      <c r="G117" s="7"/>
      <c r="H117" s="7"/>
      <c r="I117" s="7"/>
      <c r="J117" s="7"/>
      <c r="K117" s="7"/>
      <c r="L117" s="7"/>
      <c r="M117" s="7"/>
      <c r="N117" s="7"/>
      <c r="O117" s="9"/>
      <c r="P117" s="9"/>
      <c r="Q117" s="9"/>
      <c r="R117" s="9"/>
      <c r="S117" s="7"/>
      <c r="T117" s="7"/>
      <c r="U117" s="7"/>
      <c r="V117" s="7"/>
      <c r="W117" s="7"/>
      <c r="X117" s="7"/>
      <c r="Y117" s="7"/>
      <c r="Z117" s="7"/>
      <c r="AA117" s="7"/>
      <c r="AB117" s="11"/>
    </row>
    <row r="118" spans="1:28" x14ac:dyDescent="0.25">
      <c r="A118" t="str">
        <f t="shared" si="5"/>
        <v>Waihou-Piako</v>
      </c>
      <c r="B118" t="str">
        <f t="shared" si="5"/>
        <v>n/a</v>
      </c>
      <c r="C118">
        <v>6</v>
      </c>
      <c r="D118" s="11"/>
      <c r="E118" s="11"/>
      <c r="F118" s="11"/>
      <c r="G118" s="7"/>
      <c r="H118" s="7"/>
      <c r="I118" s="7"/>
      <c r="J118" s="7"/>
      <c r="K118" s="7"/>
      <c r="L118" s="7"/>
      <c r="M118" s="7"/>
      <c r="N118" s="7"/>
      <c r="O118" s="9"/>
      <c r="P118" s="9"/>
      <c r="Q118" s="9"/>
      <c r="R118" s="9"/>
      <c r="S118" s="7"/>
      <c r="T118" s="7"/>
      <c r="U118" s="7"/>
      <c r="V118" s="7"/>
      <c r="W118" s="7"/>
      <c r="X118" s="7"/>
      <c r="Y118" s="7"/>
      <c r="Z118" s="7"/>
      <c r="AA118" s="7"/>
      <c r="AB118" s="11"/>
    </row>
    <row r="119" spans="1:28" x14ac:dyDescent="0.25">
      <c r="A119" t="str">
        <f t="shared" si="5"/>
        <v>Waihou-Piako</v>
      </c>
      <c r="B119" t="str">
        <f t="shared" si="5"/>
        <v>n/a</v>
      </c>
      <c r="C119">
        <v>7</v>
      </c>
      <c r="D119" s="11"/>
      <c r="E119" s="11"/>
      <c r="F119" s="11"/>
      <c r="G119" s="7"/>
      <c r="H119" s="7"/>
      <c r="I119" s="7"/>
      <c r="J119" s="7"/>
      <c r="K119" s="7"/>
      <c r="L119" s="7"/>
      <c r="M119" s="7"/>
      <c r="N119" s="7"/>
      <c r="O119" s="9"/>
      <c r="P119" s="9"/>
      <c r="Q119" s="9"/>
      <c r="R119" s="9"/>
      <c r="S119" s="7"/>
      <c r="T119" s="7"/>
      <c r="U119" s="7"/>
      <c r="V119" s="7"/>
      <c r="W119" s="7"/>
      <c r="X119" s="7"/>
      <c r="Y119" s="7"/>
      <c r="Z119" s="7"/>
      <c r="AA119" s="7"/>
      <c r="AB119" s="11"/>
    </row>
    <row r="120" spans="1:28" x14ac:dyDescent="0.25">
      <c r="A120" t="str">
        <f t="shared" si="5"/>
        <v>Waihou-Piako</v>
      </c>
      <c r="B120" t="str">
        <f t="shared" si="5"/>
        <v>n/a</v>
      </c>
      <c r="C120">
        <v>8</v>
      </c>
      <c r="D120" s="11"/>
      <c r="E120" s="11"/>
      <c r="F120" s="11"/>
      <c r="G120" s="7"/>
      <c r="H120" s="7"/>
      <c r="I120" s="7"/>
      <c r="J120" s="7"/>
      <c r="K120" s="7"/>
      <c r="L120" s="7"/>
      <c r="M120" s="7"/>
      <c r="N120" s="7"/>
      <c r="O120" s="9"/>
      <c r="P120" s="9"/>
      <c r="Q120" s="9"/>
      <c r="R120" s="9"/>
      <c r="S120" s="7"/>
      <c r="T120" s="7"/>
      <c r="U120" s="7"/>
      <c r="V120" s="7"/>
      <c r="W120" s="7"/>
      <c r="X120" s="7"/>
      <c r="Y120" s="7"/>
      <c r="Z120" s="7"/>
      <c r="AA120" s="7"/>
      <c r="AB120" s="11"/>
    </row>
    <row r="121" spans="1:28" x14ac:dyDescent="0.25">
      <c r="A121" t="str">
        <f t="shared" si="5"/>
        <v>Waihou-Piako</v>
      </c>
      <c r="B121" t="str">
        <f t="shared" si="5"/>
        <v>n/a</v>
      </c>
      <c r="C121">
        <v>9</v>
      </c>
      <c r="D121" s="11"/>
      <c r="E121" s="11"/>
      <c r="F121" s="11"/>
      <c r="G121" s="7"/>
      <c r="H121" s="7"/>
      <c r="I121" s="7"/>
      <c r="J121" s="7"/>
      <c r="K121" s="7"/>
      <c r="L121" s="7"/>
      <c r="M121" s="7"/>
      <c r="N121" s="7"/>
      <c r="O121" s="9"/>
      <c r="P121" s="9"/>
      <c r="Q121" s="9"/>
      <c r="R121" s="9"/>
      <c r="S121" s="7"/>
      <c r="T121" s="7"/>
      <c r="U121" s="7"/>
      <c r="V121" s="7"/>
      <c r="W121" s="7"/>
      <c r="X121" s="7"/>
      <c r="Y121" s="7"/>
      <c r="Z121" s="7"/>
      <c r="AA121" s="7"/>
      <c r="AB121" s="11"/>
    </row>
    <row r="122" spans="1:28" x14ac:dyDescent="0.25">
      <c r="A122" s="5" t="str">
        <f t="shared" si="5"/>
        <v>Waihou-Piako</v>
      </c>
      <c r="B122" s="5" t="str">
        <f t="shared" si="5"/>
        <v>n/a</v>
      </c>
      <c r="C122" s="5">
        <v>10</v>
      </c>
      <c r="D122" s="12"/>
      <c r="E122" s="12"/>
      <c r="F122" s="12"/>
      <c r="G122" s="8"/>
      <c r="H122" s="8"/>
      <c r="I122" s="8"/>
      <c r="J122" s="8"/>
      <c r="K122" s="8"/>
      <c r="L122" s="8"/>
      <c r="M122" s="8"/>
      <c r="N122" s="8"/>
      <c r="O122" s="10"/>
      <c r="P122" s="10"/>
      <c r="Q122" s="10"/>
      <c r="R122" s="10"/>
      <c r="S122" s="8"/>
      <c r="T122" s="8"/>
      <c r="U122" s="8"/>
      <c r="V122" s="8"/>
      <c r="W122" s="8"/>
      <c r="X122" s="8"/>
      <c r="Y122" s="8"/>
      <c r="Z122" s="8"/>
      <c r="AA122" s="8"/>
      <c r="AB122" s="12"/>
    </row>
    <row r="123" spans="1:28" x14ac:dyDescent="0.25">
      <c r="A123" t="str">
        <f t="shared" si="5"/>
        <v>Waihou-Piako</v>
      </c>
      <c r="B123" t="str">
        <f>Scenario!M2</f>
        <v>n/a</v>
      </c>
      <c r="C123">
        <v>0</v>
      </c>
      <c r="D123" s="11"/>
      <c r="E123" s="11"/>
      <c r="F123" s="11"/>
      <c r="G123" s="7"/>
      <c r="H123" s="7"/>
      <c r="I123" s="7"/>
      <c r="J123" s="7"/>
      <c r="K123" s="7"/>
      <c r="L123" s="7"/>
      <c r="M123" s="7"/>
      <c r="N123" s="7"/>
      <c r="O123" s="9"/>
      <c r="P123" s="9"/>
      <c r="Q123" s="9"/>
      <c r="R123" s="9"/>
      <c r="S123" s="7"/>
      <c r="T123" s="7"/>
      <c r="U123" s="7"/>
      <c r="V123" s="7"/>
      <c r="W123" s="7"/>
      <c r="X123" s="7"/>
      <c r="Y123" s="7"/>
      <c r="Z123" s="7"/>
      <c r="AA123" s="7"/>
      <c r="AB123" s="11"/>
    </row>
    <row r="124" spans="1:28" x14ac:dyDescent="0.25">
      <c r="A124" t="str">
        <f t="shared" si="5"/>
        <v>Waihou-Piako</v>
      </c>
      <c r="B124" t="str">
        <f>B123</f>
        <v>n/a</v>
      </c>
      <c r="C124">
        <v>1</v>
      </c>
      <c r="D124" s="11"/>
      <c r="E124" s="11"/>
      <c r="F124" s="11"/>
      <c r="G124" s="7"/>
      <c r="H124" s="7"/>
      <c r="I124" s="7"/>
      <c r="J124" s="7"/>
      <c r="K124" s="7"/>
      <c r="L124" s="7"/>
      <c r="M124" s="7"/>
      <c r="N124" s="7"/>
      <c r="O124" s="9"/>
      <c r="P124" s="9"/>
      <c r="Q124" s="9"/>
      <c r="R124" s="9"/>
      <c r="S124" s="7"/>
      <c r="T124" s="7"/>
      <c r="U124" s="7"/>
      <c r="V124" s="7"/>
      <c r="W124" s="7"/>
      <c r="X124" s="7"/>
      <c r="Y124" s="7"/>
      <c r="Z124" s="7"/>
      <c r="AA124" s="7"/>
      <c r="AB124" s="11"/>
    </row>
    <row r="125" spans="1:28" x14ac:dyDescent="0.25">
      <c r="A125" t="str">
        <f t="shared" si="5"/>
        <v>Waihou-Piako</v>
      </c>
      <c r="B125" t="str">
        <f t="shared" si="5"/>
        <v>n/a</v>
      </c>
      <c r="C125">
        <v>2</v>
      </c>
      <c r="D125" s="11"/>
      <c r="E125" s="11"/>
      <c r="F125" s="11"/>
      <c r="G125" s="7"/>
      <c r="H125" s="7"/>
      <c r="I125" s="7"/>
      <c r="J125" s="7"/>
      <c r="K125" s="7"/>
      <c r="L125" s="7"/>
      <c r="M125" s="7"/>
      <c r="N125" s="7"/>
      <c r="O125" s="9"/>
      <c r="P125" s="9"/>
      <c r="Q125" s="9"/>
      <c r="R125" s="9"/>
      <c r="S125" s="7"/>
      <c r="T125" s="7"/>
      <c r="U125" s="7"/>
      <c r="V125" s="7"/>
      <c r="W125" s="7"/>
      <c r="X125" s="7"/>
      <c r="Y125" s="7"/>
      <c r="Z125" s="7"/>
      <c r="AA125" s="7"/>
      <c r="AB125" s="11"/>
    </row>
    <row r="126" spans="1:28" x14ac:dyDescent="0.25">
      <c r="A126" t="str">
        <f t="shared" si="5"/>
        <v>Waihou-Piako</v>
      </c>
      <c r="B126" t="str">
        <f t="shared" si="5"/>
        <v>n/a</v>
      </c>
      <c r="C126">
        <v>3</v>
      </c>
      <c r="D126" s="11"/>
      <c r="E126" s="11"/>
      <c r="F126" s="11"/>
      <c r="G126" s="7"/>
      <c r="H126" s="7"/>
      <c r="I126" s="7"/>
      <c r="J126" s="7"/>
      <c r="K126" s="7"/>
      <c r="L126" s="7"/>
      <c r="M126" s="7"/>
      <c r="N126" s="7"/>
      <c r="O126" s="9"/>
      <c r="P126" s="9"/>
      <c r="Q126" s="9"/>
      <c r="R126" s="9"/>
      <c r="S126" s="7"/>
      <c r="T126" s="7"/>
      <c r="U126" s="7"/>
      <c r="V126" s="7"/>
      <c r="W126" s="7"/>
      <c r="X126" s="7"/>
      <c r="Y126" s="7"/>
      <c r="Z126" s="7"/>
      <c r="AA126" s="7"/>
      <c r="AB126" s="11"/>
    </row>
    <row r="127" spans="1:28" x14ac:dyDescent="0.25">
      <c r="A127" t="str">
        <f t="shared" si="5"/>
        <v>Waihou-Piako</v>
      </c>
      <c r="B127" t="str">
        <f t="shared" si="5"/>
        <v>n/a</v>
      </c>
      <c r="C127">
        <v>4</v>
      </c>
      <c r="D127" s="11"/>
      <c r="E127" s="11"/>
      <c r="F127" s="11"/>
      <c r="G127" s="7"/>
      <c r="H127" s="7"/>
      <c r="I127" s="7"/>
      <c r="J127" s="7"/>
      <c r="K127" s="7"/>
      <c r="L127" s="7"/>
      <c r="M127" s="7"/>
      <c r="N127" s="7"/>
      <c r="O127" s="9"/>
      <c r="P127" s="9"/>
      <c r="Q127" s="9"/>
      <c r="R127" s="9"/>
      <c r="S127" s="7"/>
      <c r="T127" s="7"/>
      <c r="U127" s="7"/>
      <c r="V127" s="7"/>
      <c r="W127" s="7"/>
      <c r="X127" s="7"/>
      <c r="Y127" s="7"/>
      <c r="Z127" s="7"/>
      <c r="AA127" s="7"/>
      <c r="AB127" s="11"/>
    </row>
    <row r="128" spans="1:28" x14ac:dyDescent="0.25">
      <c r="A128" t="str">
        <f t="shared" si="5"/>
        <v>Waihou-Piako</v>
      </c>
      <c r="B128" t="str">
        <f t="shared" si="5"/>
        <v>n/a</v>
      </c>
      <c r="C128">
        <v>5</v>
      </c>
      <c r="D128" s="11"/>
      <c r="E128" s="11"/>
      <c r="F128" s="11"/>
      <c r="G128" s="7"/>
      <c r="H128" s="7"/>
      <c r="I128" s="7"/>
      <c r="J128" s="7"/>
      <c r="K128" s="7"/>
      <c r="L128" s="7"/>
      <c r="M128" s="7"/>
      <c r="N128" s="7"/>
      <c r="O128" s="9"/>
      <c r="P128" s="9"/>
      <c r="Q128" s="9"/>
      <c r="R128" s="9"/>
      <c r="S128" s="7"/>
      <c r="T128" s="7"/>
      <c r="U128" s="7"/>
      <c r="V128" s="7"/>
      <c r="W128" s="7"/>
      <c r="X128" s="7"/>
      <c r="Y128" s="7"/>
      <c r="Z128" s="7"/>
      <c r="AA128" s="7"/>
      <c r="AB128" s="11"/>
    </row>
    <row r="129" spans="1:28" x14ac:dyDescent="0.25">
      <c r="A129" t="str">
        <f t="shared" si="5"/>
        <v>Waihou-Piako</v>
      </c>
      <c r="B129" t="str">
        <f t="shared" si="5"/>
        <v>n/a</v>
      </c>
      <c r="C129">
        <v>6</v>
      </c>
      <c r="D129" s="11"/>
      <c r="E129" s="11"/>
      <c r="F129" s="11"/>
      <c r="G129" s="7"/>
      <c r="H129" s="7"/>
      <c r="I129" s="7"/>
      <c r="J129" s="7"/>
      <c r="K129" s="7"/>
      <c r="L129" s="7"/>
      <c r="M129" s="7"/>
      <c r="N129" s="7"/>
      <c r="O129" s="9"/>
      <c r="P129" s="9"/>
      <c r="Q129" s="9"/>
      <c r="R129" s="9"/>
      <c r="S129" s="7"/>
      <c r="T129" s="7"/>
      <c r="U129" s="7"/>
      <c r="V129" s="7"/>
      <c r="W129" s="7"/>
      <c r="X129" s="7"/>
      <c r="Y129" s="7"/>
      <c r="Z129" s="7"/>
      <c r="AA129" s="7"/>
      <c r="AB129" s="11"/>
    </row>
    <row r="130" spans="1:28" x14ac:dyDescent="0.25">
      <c r="A130" t="str">
        <f t="shared" si="5"/>
        <v>Waihou-Piako</v>
      </c>
      <c r="B130" t="str">
        <f t="shared" si="5"/>
        <v>n/a</v>
      </c>
      <c r="C130">
        <v>7</v>
      </c>
      <c r="D130" s="11"/>
      <c r="E130" s="11"/>
      <c r="F130" s="11"/>
      <c r="G130" s="7"/>
      <c r="H130" s="7"/>
      <c r="I130" s="7"/>
      <c r="J130" s="7"/>
      <c r="K130" s="7"/>
      <c r="L130" s="7"/>
      <c r="M130" s="7"/>
      <c r="N130" s="7"/>
      <c r="O130" s="9"/>
      <c r="P130" s="9"/>
      <c r="Q130" s="9"/>
      <c r="R130" s="9"/>
      <c r="S130" s="7"/>
      <c r="T130" s="7"/>
      <c r="U130" s="7"/>
      <c r="V130" s="7"/>
      <c r="W130" s="7"/>
      <c r="X130" s="7"/>
      <c r="Y130" s="7"/>
      <c r="Z130" s="7"/>
      <c r="AA130" s="7"/>
      <c r="AB130" s="11"/>
    </row>
    <row r="131" spans="1:28" x14ac:dyDescent="0.25">
      <c r="A131" t="str">
        <f t="shared" si="5"/>
        <v>Waihou-Piako</v>
      </c>
      <c r="B131" t="str">
        <f t="shared" si="5"/>
        <v>n/a</v>
      </c>
      <c r="C131">
        <v>8</v>
      </c>
      <c r="D131" s="11"/>
      <c r="E131" s="11"/>
      <c r="F131" s="11"/>
      <c r="G131" s="7"/>
      <c r="H131" s="7"/>
      <c r="I131" s="7"/>
      <c r="J131" s="7"/>
      <c r="K131" s="7"/>
      <c r="L131" s="7"/>
      <c r="M131" s="7"/>
      <c r="N131" s="7"/>
      <c r="O131" s="9"/>
      <c r="P131" s="9"/>
      <c r="Q131" s="9"/>
      <c r="R131" s="9"/>
      <c r="S131" s="7"/>
      <c r="T131" s="7"/>
      <c r="U131" s="7"/>
      <c r="V131" s="7"/>
      <c r="W131" s="7"/>
      <c r="X131" s="7"/>
      <c r="Y131" s="7"/>
      <c r="Z131" s="7"/>
      <c r="AA131" s="7"/>
      <c r="AB131" s="11"/>
    </row>
    <row r="132" spans="1:28" x14ac:dyDescent="0.25">
      <c r="A132" t="str">
        <f t="shared" ref="A132:B174" si="6">A131</f>
        <v>Waihou-Piako</v>
      </c>
      <c r="B132" t="str">
        <f t="shared" si="6"/>
        <v>n/a</v>
      </c>
      <c r="C132">
        <v>9</v>
      </c>
      <c r="D132" s="11"/>
      <c r="E132" s="11"/>
      <c r="F132" s="11"/>
      <c r="G132" s="7"/>
      <c r="H132" s="7"/>
      <c r="I132" s="7"/>
      <c r="J132" s="7"/>
      <c r="K132" s="7"/>
      <c r="L132" s="7"/>
      <c r="M132" s="7"/>
      <c r="N132" s="7"/>
      <c r="O132" s="9"/>
      <c r="P132" s="9"/>
      <c r="Q132" s="9"/>
      <c r="R132" s="9"/>
      <c r="S132" s="7"/>
      <c r="T132" s="7"/>
      <c r="U132" s="7"/>
      <c r="V132" s="7"/>
      <c r="W132" s="7"/>
      <c r="X132" s="7"/>
      <c r="Y132" s="7"/>
      <c r="Z132" s="7"/>
      <c r="AA132" s="7"/>
      <c r="AB132" s="11"/>
    </row>
    <row r="133" spans="1:28" x14ac:dyDescent="0.25">
      <c r="A133" s="5" t="str">
        <f t="shared" si="6"/>
        <v>Waihou-Piako</v>
      </c>
      <c r="B133" s="5" t="str">
        <f t="shared" si="6"/>
        <v>n/a</v>
      </c>
      <c r="C133" s="5">
        <v>10</v>
      </c>
      <c r="D133" s="12"/>
      <c r="E133" s="12"/>
      <c r="F133" s="12"/>
      <c r="G133" s="8"/>
      <c r="H133" s="8"/>
      <c r="I133" s="8"/>
      <c r="J133" s="8"/>
      <c r="K133" s="8"/>
      <c r="L133" s="8"/>
      <c r="M133" s="8"/>
      <c r="N133" s="8"/>
      <c r="O133" s="10"/>
      <c r="P133" s="10"/>
      <c r="Q133" s="10"/>
      <c r="R133" s="10"/>
      <c r="S133" s="8"/>
      <c r="T133" s="8"/>
      <c r="U133" s="8"/>
      <c r="V133" s="8"/>
      <c r="W133" s="8"/>
      <c r="X133" s="8"/>
      <c r="Y133" s="8"/>
      <c r="Z133" s="8"/>
      <c r="AA133" s="8"/>
      <c r="AB133" s="12"/>
    </row>
    <row r="134" spans="1:28" x14ac:dyDescent="0.25">
      <c r="A134" t="str">
        <f t="shared" si="6"/>
        <v>Waihou-Piako</v>
      </c>
      <c r="B134" t="str">
        <f>Scenario!N2</f>
        <v>n/a</v>
      </c>
      <c r="C134">
        <v>0</v>
      </c>
      <c r="D134" s="11"/>
      <c r="E134" s="11"/>
      <c r="F134" s="11"/>
      <c r="G134" s="7"/>
      <c r="H134" s="7"/>
      <c r="I134" s="7"/>
      <c r="J134" s="7"/>
      <c r="K134" s="7"/>
      <c r="L134" s="7"/>
      <c r="M134" s="7"/>
      <c r="N134" s="7"/>
      <c r="O134" s="9"/>
      <c r="P134" s="9"/>
      <c r="Q134" s="9"/>
      <c r="R134" s="9"/>
      <c r="S134" s="7"/>
      <c r="T134" s="7"/>
      <c r="U134" s="7"/>
      <c r="V134" s="7"/>
      <c r="W134" s="7"/>
      <c r="X134" s="7"/>
      <c r="Y134" s="7"/>
      <c r="Z134" s="7"/>
      <c r="AA134" s="7"/>
      <c r="AB134" s="11"/>
    </row>
    <row r="135" spans="1:28" x14ac:dyDescent="0.25">
      <c r="A135" t="str">
        <f t="shared" si="6"/>
        <v>Waihou-Piako</v>
      </c>
      <c r="B135" t="str">
        <f>B134</f>
        <v>n/a</v>
      </c>
      <c r="C135">
        <v>1</v>
      </c>
      <c r="D135" s="11"/>
      <c r="E135" s="11"/>
      <c r="F135" s="11"/>
      <c r="G135" s="7"/>
      <c r="H135" s="7"/>
      <c r="I135" s="7"/>
      <c r="J135" s="7"/>
      <c r="K135" s="7"/>
      <c r="L135" s="7"/>
      <c r="M135" s="7"/>
      <c r="N135" s="7"/>
      <c r="O135" s="9"/>
      <c r="P135" s="9"/>
      <c r="Q135" s="9"/>
      <c r="R135" s="9"/>
      <c r="S135" s="7"/>
      <c r="T135" s="7"/>
      <c r="U135" s="7"/>
      <c r="V135" s="7"/>
      <c r="W135" s="7"/>
      <c r="X135" s="7"/>
      <c r="Y135" s="7"/>
      <c r="Z135" s="7"/>
      <c r="AA135" s="7"/>
      <c r="AB135" s="11"/>
    </row>
    <row r="136" spans="1:28" x14ac:dyDescent="0.25">
      <c r="A136" t="str">
        <f t="shared" si="6"/>
        <v>Waihou-Piako</v>
      </c>
      <c r="B136" t="str">
        <f t="shared" si="6"/>
        <v>n/a</v>
      </c>
      <c r="C136">
        <v>2</v>
      </c>
      <c r="D136" s="11"/>
      <c r="E136" s="11"/>
      <c r="F136" s="11"/>
      <c r="G136" s="7"/>
      <c r="H136" s="7"/>
      <c r="I136" s="7"/>
      <c r="J136" s="7"/>
      <c r="K136" s="7"/>
      <c r="L136" s="7"/>
      <c r="M136" s="7"/>
      <c r="N136" s="7"/>
      <c r="O136" s="9"/>
      <c r="P136" s="9"/>
      <c r="Q136" s="9"/>
      <c r="R136" s="9"/>
      <c r="S136" s="7"/>
      <c r="T136" s="7"/>
      <c r="U136" s="7"/>
      <c r="V136" s="7"/>
      <c r="W136" s="7"/>
      <c r="X136" s="7"/>
      <c r="Y136" s="7"/>
      <c r="Z136" s="7"/>
      <c r="AA136" s="7"/>
      <c r="AB136" s="11"/>
    </row>
    <row r="137" spans="1:28" x14ac:dyDescent="0.25">
      <c r="A137" t="str">
        <f t="shared" si="6"/>
        <v>Waihou-Piako</v>
      </c>
      <c r="B137" t="str">
        <f t="shared" si="6"/>
        <v>n/a</v>
      </c>
      <c r="C137">
        <v>3</v>
      </c>
      <c r="D137" s="11"/>
      <c r="E137" s="11"/>
      <c r="F137" s="11"/>
      <c r="G137" s="7"/>
      <c r="H137" s="7"/>
      <c r="I137" s="7"/>
      <c r="J137" s="7"/>
      <c r="K137" s="7"/>
      <c r="L137" s="7"/>
      <c r="M137" s="7"/>
      <c r="N137" s="7"/>
      <c r="O137" s="9"/>
      <c r="P137" s="9"/>
      <c r="Q137" s="9"/>
      <c r="R137" s="9"/>
      <c r="S137" s="7"/>
      <c r="T137" s="7"/>
      <c r="U137" s="7"/>
      <c r="V137" s="7"/>
      <c r="W137" s="7"/>
      <c r="X137" s="7"/>
      <c r="Y137" s="7"/>
      <c r="Z137" s="7"/>
      <c r="AA137" s="7"/>
      <c r="AB137" s="11"/>
    </row>
    <row r="138" spans="1:28" x14ac:dyDescent="0.25">
      <c r="A138" t="str">
        <f t="shared" si="6"/>
        <v>Waihou-Piako</v>
      </c>
      <c r="B138" t="str">
        <f t="shared" si="6"/>
        <v>n/a</v>
      </c>
      <c r="C138">
        <v>4</v>
      </c>
      <c r="D138" s="11"/>
      <c r="E138" s="11"/>
      <c r="F138" s="11"/>
      <c r="G138" s="7"/>
      <c r="H138" s="7"/>
      <c r="I138" s="7"/>
      <c r="J138" s="7"/>
      <c r="K138" s="7"/>
      <c r="L138" s="7"/>
      <c r="M138" s="7"/>
      <c r="N138" s="7"/>
      <c r="O138" s="9"/>
      <c r="P138" s="9"/>
      <c r="Q138" s="9"/>
      <c r="R138" s="9"/>
      <c r="S138" s="7"/>
      <c r="T138" s="7"/>
      <c r="U138" s="7"/>
      <c r="V138" s="7"/>
      <c r="W138" s="7"/>
      <c r="X138" s="7"/>
      <c r="Y138" s="7"/>
      <c r="Z138" s="7"/>
      <c r="AA138" s="7"/>
      <c r="AB138" s="11"/>
    </row>
    <row r="139" spans="1:28" x14ac:dyDescent="0.25">
      <c r="A139" t="str">
        <f t="shared" si="6"/>
        <v>Waihou-Piako</v>
      </c>
      <c r="B139" t="str">
        <f t="shared" si="6"/>
        <v>n/a</v>
      </c>
      <c r="C139">
        <v>5</v>
      </c>
      <c r="D139" s="11"/>
      <c r="E139" s="11"/>
      <c r="F139" s="11"/>
      <c r="G139" s="7"/>
      <c r="H139" s="7"/>
      <c r="I139" s="7"/>
      <c r="J139" s="7"/>
      <c r="K139" s="7"/>
      <c r="L139" s="7"/>
      <c r="M139" s="7"/>
      <c r="N139" s="7"/>
      <c r="O139" s="9"/>
      <c r="P139" s="9"/>
      <c r="Q139" s="9"/>
      <c r="R139" s="9"/>
      <c r="S139" s="7"/>
      <c r="T139" s="7"/>
      <c r="U139" s="7"/>
      <c r="V139" s="7"/>
      <c r="W139" s="7"/>
      <c r="X139" s="7"/>
      <c r="Y139" s="7"/>
      <c r="Z139" s="7"/>
      <c r="AA139" s="7"/>
      <c r="AB139" s="11"/>
    </row>
    <row r="140" spans="1:28" x14ac:dyDescent="0.25">
      <c r="A140" t="str">
        <f t="shared" si="6"/>
        <v>Waihou-Piako</v>
      </c>
      <c r="B140" t="str">
        <f t="shared" si="6"/>
        <v>n/a</v>
      </c>
      <c r="C140">
        <v>6</v>
      </c>
      <c r="D140" s="11"/>
      <c r="E140" s="11"/>
      <c r="F140" s="11"/>
      <c r="G140" s="7"/>
      <c r="H140" s="7"/>
      <c r="I140" s="7"/>
      <c r="J140" s="7"/>
      <c r="K140" s="7"/>
      <c r="L140" s="7"/>
      <c r="M140" s="7"/>
      <c r="N140" s="7"/>
      <c r="O140" s="9"/>
      <c r="P140" s="9"/>
      <c r="Q140" s="9"/>
      <c r="R140" s="9"/>
      <c r="S140" s="7"/>
      <c r="T140" s="7"/>
      <c r="U140" s="7"/>
      <c r="V140" s="7"/>
      <c r="W140" s="7"/>
      <c r="X140" s="7"/>
      <c r="Y140" s="7"/>
      <c r="Z140" s="7"/>
      <c r="AA140" s="7"/>
      <c r="AB140" s="11"/>
    </row>
    <row r="141" spans="1:28" x14ac:dyDescent="0.25">
      <c r="A141" t="str">
        <f t="shared" si="6"/>
        <v>Waihou-Piako</v>
      </c>
      <c r="B141" t="str">
        <f t="shared" si="6"/>
        <v>n/a</v>
      </c>
      <c r="C141">
        <v>7</v>
      </c>
      <c r="D141" s="11"/>
      <c r="E141" s="11"/>
      <c r="F141" s="11"/>
      <c r="G141" s="7"/>
      <c r="H141" s="7"/>
      <c r="I141" s="7"/>
      <c r="J141" s="7"/>
      <c r="K141" s="7"/>
      <c r="L141" s="7"/>
      <c r="M141" s="7"/>
      <c r="N141" s="7"/>
      <c r="O141" s="9"/>
      <c r="P141" s="9"/>
      <c r="Q141" s="9"/>
      <c r="R141" s="9"/>
      <c r="S141" s="7"/>
      <c r="T141" s="7"/>
      <c r="U141" s="7"/>
      <c r="V141" s="7"/>
      <c r="W141" s="7"/>
      <c r="X141" s="7"/>
      <c r="Y141" s="7"/>
      <c r="Z141" s="7"/>
      <c r="AA141" s="7"/>
      <c r="AB141" s="11"/>
    </row>
    <row r="142" spans="1:28" x14ac:dyDescent="0.25">
      <c r="A142" t="str">
        <f t="shared" si="6"/>
        <v>Waihou-Piako</v>
      </c>
      <c r="B142" t="str">
        <f t="shared" si="6"/>
        <v>n/a</v>
      </c>
      <c r="C142">
        <v>8</v>
      </c>
      <c r="D142" s="11"/>
      <c r="E142" s="11"/>
      <c r="F142" s="11"/>
      <c r="G142" s="7"/>
      <c r="H142" s="7"/>
      <c r="I142" s="7"/>
      <c r="J142" s="7"/>
      <c r="K142" s="7"/>
      <c r="L142" s="7"/>
      <c r="M142" s="7"/>
      <c r="N142" s="7"/>
      <c r="O142" s="9"/>
      <c r="P142" s="9"/>
      <c r="Q142" s="9"/>
      <c r="R142" s="9"/>
      <c r="S142" s="7"/>
      <c r="T142" s="7"/>
      <c r="U142" s="7"/>
      <c r="V142" s="7"/>
      <c r="W142" s="7"/>
      <c r="X142" s="7"/>
      <c r="Y142" s="7"/>
      <c r="Z142" s="7"/>
      <c r="AA142" s="7"/>
      <c r="AB142" s="11"/>
    </row>
    <row r="143" spans="1:28" x14ac:dyDescent="0.25">
      <c r="A143" t="str">
        <f t="shared" si="6"/>
        <v>Waihou-Piako</v>
      </c>
      <c r="B143" t="str">
        <f t="shared" si="6"/>
        <v>n/a</v>
      </c>
      <c r="C143">
        <v>9</v>
      </c>
      <c r="D143" s="11"/>
      <c r="E143" s="11"/>
      <c r="F143" s="11"/>
      <c r="G143" s="7"/>
      <c r="H143" s="7"/>
      <c r="I143" s="7"/>
      <c r="J143" s="7"/>
      <c r="K143" s="7"/>
      <c r="L143" s="7"/>
      <c r="M143" s="7"/>
      <c r="N143" s="7"/>
      <c r="O143" s="9"/>
      <c r="P143" s="9"/>
      <c r="Q143" s="9"/>
      <c r="R143" s="9"/>
      <c r="S143" s="7"/>
      <c r="T143" s="7"/>
      <c r="U143" s="7"/>
      <c r="V143" s="7"/>
      <c r="W143" s="7"/>
      <c r="X143" s="7"/>
      <c r="Y143" s="7"/>
      <c r="Z143" s="7"/>
      <c r="AA143" s="7"/>
      <c r="AB143" s="11"/>
    </row>
    <row r="144" spans="1:28" x14ac:dyDescent="0.25">
      <c r="A144" s="5" t="str">
        <f t="shared" si="6"/>
        <v>Waihou-Piako</v>
      </c>
      <c r="B144" s="5" t="str">
        <f t="shared" si="6"/>
        <v>n/a</v>
      </c>
      <c r="C144" s="5">
        <v>10</v>
      </c>
      <c r="D144" s="12"/>
      <c r="E144" s="12"/>
      <c r="F144" s="12"/>
      <c r="G144" s="8"/>
      <c r="H144" s="8"/>
      <c r="I144" s="8"/>
      <c r="J144" s="8"/>
      <c r="K144" s="8"/>
      <c r="L144" s="8"/>
      <c r="M144" s="8"/>
      <c r="N144" s="8"/>
      <c r="O144" s="10"/>
      <c r="P144" s="10"/>
      <c r="Q144" s="10"/>
      <c r="R144" s="10"/>
      <c r="S144" s="8"/>
      <c r="T144" s="8"/>
      <c r="U144" s="8"/>
      <c r="V144" s="8"/>
      <c r="W144" s="8"/>
      <c r="X144" s="8"/>
      <c r="Y144" s="8"/>
      <c r="Z144" s="8"/>
      <c r="AA144" s="8"/>
      <c r="AB144" s="12"/>
    </row>
    <row r="145" spans="1:28" x14ac:dyDescent="0.25">
      <c r="A145" t="str">
        <f t="shared" si="6"/>
        <v>Waihou-Piako</v>
      </c>
      <c r="B145" t="str">
        <f>Scenario!O2</f>
        <v>n/a</v>
      </c>
      <c r="C145">
        <v>0</v>
      </c>
      <c r="D145" s="11"/>
      <c r="E145" s="11"/>
      <c r="F145" s="11"/>
      <c r="G145" s="7"/>
      <c r="H145" s="7"/>
      <c r="I145" s="7"/>
      <c r="J145" s="7"/>
      <c r="K145" s="7"/>
      <c r="L145" s="7"/>
      <c r="M145" s="7"/>
      <c r="N145" s="7"/>
      <c r="O145" s="9"/>
      <c r="P145" s="9"/>
      <c r="Q145" s="9"/>
      <c r="R145" s="9"/>
      <c r="S145" s="7"/>
      <c r="T145" s="7"/>
      <c r="U145" s="7"/>
      <c r="V145" s="7"/>
      <c r="W145" s="7"/>
      <c r="X145" s="7"/>
      <c r="Y145" s="7"/>
      <c r="Z145" s="7"/>
      <c r="AA145" s="7"/>
      <c r="AB145" s="11"/>
    </row>
    <row r="146" spans="1:28" x14ac:dyDescent="0.25">
      <c r="A146" t="str">
        <f t="shared" si="6"/>
        <v>Waihou-Piako</v>
      </c>
      <c r="B146" t="str">
        <f>B145</f>
        <v>n/a</v>
      </c>
      <c r="C146">
        <v>1</v>
      </c>
      <c r="D146" s="11"/>
      <c r="E146" s="11"/>
      <c r="F146" s="11"/>
      <c r="G146" s="7"/>
      <c r="H146" s="7"/>
      <c r="I146" s="7"/>
      <c r="J146" s="7"/>
      <c r="K146" s="7"/>
      <c r="L146" s="7"/>
      <c r="M146" s="7"/>
      <c r="N146" s="7"/>
      <c r="O146" s="9"/>
      <c r="P146" s="9"/>
      <c r="Q146" s="9"/>
      <c r="R146" s="9"/>
      <c r="S146" s="7"/>
      <c r="T146" s="7"/>
      <c r="U146" s="7"/>
      <c r="V146" s="7"/>
      <c r="W146" s="7"/>
      <c r="X146" s="7"/>
      <c r="Y146" s="7"/>
      <c r="Z146" s="7"/>
      <c r="AA146" s="7"/>
      <c r="AB146" s="11"/>
    </row>
    <row r="147" spans="1:28" x14ac:dyDescent="0.25">
      <c r="A147" t="str">
        <f t="shared" si="6"/>
        <v>Waihou-Piako</v>
      </c>
      <c r="B147" t="str">
        <f t="shared" si="6"/>
        <v>n/a</v>
      </c>
      <c r="C147">
        <v>2</v>
      </c>
      <c r="D147" s="11"/>
      <c r="E147" s="11"/>
      <c r="F147" s="11"/>
      <c r="G147" s="7"/>
      <c r="H147" s="7"/>
      <c r="I147" s="7"/>
      <c r="J147" s="7"/>
      <c r="K147" s="7"/>
      <c r="L147" s="7"/>
      <c r="M147" s="7"/>
      <c r="N147" s="7"/>
      <c r="O147" s="9"/>
      <c r="P147" s="9"/>
      <c r="Q147" s="9"/>
      <c r="R147" s="9"/>
      <c r="S147" s="7"/>
      <c r="T147" s="7"/>
      <c r="U147" s="7"/>
      <c r="V147" s="7"/>
      <c r="W147" s="7"/>
      <c r="X147" s="7"/>
      <c r="Y147" s="7"/>
      <c r="Z147" s="7"/>
      <c r="AA147" s="7"/>
      <c r="AB147" s="11"/>
    </row>
    <row r="148" spans="1:28" x14ac:dyDescent="0.25">
      <c r="A148" t="str">
        <f t="shared" si="6"/>
        <v>Waihou-Piako</v>
      </c>
      <c r="B148" t="str">
        <f t="shared" si="6"/>
        <v>n/a</v>
      </c>
      <c r="C148">
        <v>3</v>
      </c>
      <c r="D148" s="11"/>
      <c r="E148" s="11"/>
      <c r="F148" s="11"/>
      <c r="G148" s="7"/>
      <c r="H148" s="7"/>
      <c r="I148" s="7"/>
      <c r="J148" s="7"/>
      <c r="K148" s="7"/>
      <c r="L148" s="7"/>
      <c r="M148" s="7"/>
      <c r="N148" s="7"/>
      <c r="O148" s="9"/>
      <c r="P148" s="9"/>
      <c r="Q148" s="9"/>
      <c r="R148" s="9"/>
      <c r="S148" s="7"/>
      <c r="T148" s="7"/>
      <c r="U148" s="7"/>
      <c r="V148" s="7"/>
      <c r="W148" s="7"/>
      <c r="X148" s="7"/>
      <c r="Y148" s="7"/>
      <c r="Z148" s="7"/>
      <c r="AA148" s="7"/>
      <c r="AB148" s="11"/>
    </row>
    <row r="149" spans="1:28" x14ac:dyDescent="0.25">
      <c r="A149" t="str">
        <f t="shared" si="6"/>
        <v>Waihou-Piako</v>
      </c>
      <c r="B149" t="str">
        <f t="shared" si="6"/>
        <v>n/a</v>
      </c>
      <c r="C149">
        <v>4</v>
      </c>
      <c r="D149" s="11"/>
      <c r="E149" s="11"/>
      <c r="F149" s="11"/>
      <c r="G149" s="7"/>
      <c r="H149" s="7"/>
      <c r="I149" s="7"/>
      <c r="J149" s="7"/>
      <c r="K149" s="7"/>
      <c r="L149" s="7"/>
      <c r="M149" s="7"/>
      <c r="N149" s="7"/>
      <c r="O149" s="9"/>
      <c r="P149" s="9"/>
      <c r="Q149" s="9"/>
      <c r="R149" s="9"/>
      <c r="S149" s="7"/>
      <c r="T149" s="7"/>
      <c r="U149" s="7"/>
      <c r="V149" s="7"/>
      <c r="W149" s="7"/>
      <c r="X149" s="7"/>
      <c r="Y149" s="7"/>
      <c r="Z149" s="7"/>
      <c r="AA149" s="7"/>
      <c r="AB149" s="11"/>
    </row>
    <row r="150" spans="1:28" x14ac:dyDescent="0.25">
      <c r="A150" t="str">
        <f t="shared" si="6"/>
        <v>Waihou-Piako</v>
      </c>
      <c r="B150" t="str">
        <f t="shared" si="6"/>
        <v>n/a</v>
      </c>
      <c r="C150">
        <v>5</v>
      </c>
      <c r="D150" s="11"/>
      <c r="E150" s="11"/>
      <c r="F150" s="11"/>
      <c r="G150" s="7"/>
      <c r="H150" s="7"/>
      <c r="I150" s="7"/>
      <c r="J150" s="7"/>
      <c r="K150" s="7"/>
      <c r="L150" s="7"/>
      <c r="M150" s="7"/>
      <c r="N150" s="7"/>
      <c r="O150" s="9"/>
      <c r="P150" s="9"/>
      <c r="Q150" s="9"/>
      <c r="R150" s="9"/>
      <c r="S150" s="7"/>
      <c r="T150" s="7"/>
      <c r="U150" s="7"/>
      <c r="V150" s="7"/>
      <c r="W150" s="7"/>
      <c r="X150" s="7"/>
      <c r="Y150" s="7"/>
      <c r="Z150" s="7"/>
      <c r="AA150" s="7"/>
      <c r="AB150" s="11"/>
    </row>
    <row r="151" spans="1:28" x14ac:dyDescent="0.25">
      <c r="A151" t="str">
        <f t="shared" si="6"/>
        <v>Waihou-Piako</v>
      </c>
      <c r="B151" t="str">
        <f t="shared" si="6"/>
        <v>n/a</v>
      </c>
      <c r="C151">
        <v>6</v>
      </c>
      <c r="D151" s="11"/>
      <c r="E151" s="11"/>
      <c r="F151" s="11"/>
      <c r="G151" s="7"/>
      <c r="H151" s="7"/>
      <c r="I151" s="7"/>
      <c r="J151" s="7"/>
      <c r="K151" s="7"/>
      <c r="L151" s="7"/>
      <c r="M151" s="7"/>
      <c r="N151" s="7"/>
      <c r="O151" s="9"/>
      <c r="P151" s="9"/>
      <c r="Q151" s="9"/>
      <c r="R151" s="9"/>
      <c r="S151" s="7"/>
      <c r="T151" s="7"/>
      <c r="U151" s="7"/>
      <c r="V151" s="7"/>
      <c r="W151" s="7"/>
      <c r="X151" s="7"/>
      <c r="Y151" s="7"/>
      <c r="Z151" s="7"/>
      <c r="AA151" s="7"/>
      <c r="AB151" s="11"/>
    </row>
    <row r="152" spans="1:28" x14ac:dyDescent="0.25">
      <c r="A152" t="str">
        <f t="shared" si="6"/>
        <v>Waihou-Piako</v>
      </c>
      <c r="B152" t="str">
        <f t="shared" si="6"/>
        <v>n/a</v>
      </c>
      <c r="C152">
        <v>7</v>
      </c>
      <c r="D152" s="11"/>
      <c r="E152" s="11"/>
      <c r="F152" s="11"/>
      <c r="G152" s="7"/>
      <c r="H152" s="7"/>
      <c r="I152" s="7"/>
      <c r="J152" s="7"/>
      <c r="K152" s="7"/>
      <c r="L152" s="7"/>
      <c r="M152" s="7"/>
      <c r="N152" s="7"/>
      <c r="O152" s="9"/>
      <c r="P152" s="9"/>
      <c r="Q152" s="9"/>
      <c r="R152" s="9"/>
      <c r="S152" s="7"/>
      <c r="T152" s="7"/>
      <c r="U152" s="7"/>
      <c r="V152" s="7"/>
      <c r="W152" s="7"/>
      <c r="X152" s="7"/>
      <c r="Y152" s="7"/>
      <c r="Z152" s="7"/>
      <c r="AA152" s="7"/>
      <c r="AB152" s="11"/>
    </row>
    <row r="153" spans="1:28" x14ac:dyDescent="0.25">
      <c r="A153" t="str">
        <f t="shared" si="6"/>
        <v>Waihou-Piako</v>
      </c>
      <c r="B153" t="str">
        <f t="shared" si="6"/>
        <v>n/a</v>
      </c>
      <c r="C153">
        <v>8</v>
      </c>
      <c r="D153" s="11"/>
      <c r="E153" s="11"/>
      <c r="F153" s="11"/>
      <c r="G153" s="7"/>
      <c r="H153" s="7"/>
      <c r="I153" s="7"/>
      <c r="J153" s="7"/>
      <c r="K153" s="7"/>
      <c r="L153" s="7"/>
      <c r="M153" s="7"/>
      <c r="N153" s="7"/>
      <c r="O153" s="9"/>
      <c r="P153" s="9"/>
      <c r="Q153" s="9"/>
      <c r="R153" s="9"/>
      <c r="S153" s="7"/>
      <c r="T153" s="7"/>
      <c r="U153" s="7"/>
      <c r="V153" s="7"/>
      <c r="W153" s="7"/>
      <c r="X153" s="7"/>
      <c r="Y153" s="7"/>
      <c r="Z153" s="7"/>
      <c r="AA153" s="7"/>
      <c r="AB153" s="11"/>
    </row>
    <row r="154" spans="1:28" x14ac:dyDescent="0.25">
      <c r="A154" t="str">
        <f t="shared" si="6"/>
        <v>Waihou-Piako</v>
      </c>
      <c r="B154" t="str">
        <f t="shared" si="6"/>
        <v>n/a</v>
      </c>
      <c r="C154">
        <v>9</v>
      </c>
      <c r="D154" s="11"/>
      <c r="E154" s="11"/>
      <c r="F154" s="11"/>
      <c r="G154" s="7"/>
      <c r="H154" s="7"/>
      <c r="I154" s="7"/>
      <c r="J154" s="7"/>
      <c r="K154" s="7"/>
      <c r="L154" s="7"/>
      <c r="M154" s="7"/>
      <c r="N154" s="7"/>
      <c r="O154" s="9"/>
      <c r="P154" s="9"/>
      <c r="Q154" s="9"/>
      <c r="R154" s="9"/>
      <c r="S154" s="7"/>
      <c r="T154" s="7"/>
      <c r="U154" s="7"/>
      <c r="V154" s="7"/>
      <c r="W154" s="7"/>
      <c r="X154" s="7"/>
      <c r="Y154" s="7"/>
      <c r="Z154" s="7"/>
      <c r="AA154" s="7"/>
      <c r="AB154" s="11"/>
    </row>
    <row r="155" spans="1:28" x14ac:dyDescent="0.25">
      <c r="A155" s="5" t="str">
        <f t="shared" si="6"/>
        <v>Waihou-Piako</v>
      </c>
      <c r="B155" s="5" t="str">
        <f t="shared" si="6"/>
        <v>n/a</v>
      </c>
      <c r="C155" s="5">
        <v>10</v>
      </c>
      <c r="D155" s="12"/>
      <c r="E155" s="12"/>
      <c r="F155" s="12"/>
      <c r="G155" s="8"/>
      <c r="H155" s="8"/>
      <c r="I155" s="8"/>
      <c r="J155" s="8"/>
      <c r="K155" s="8"/>
      <c r="L155" s="8"/>
      <c r="M155" s="8"/>
      <c r="N155" s="8"/>
      <c r="O155" s="10"/>
      <c r="P155" s="10"/>
      <c r="Q155" s="10"/>
      <c r="R155" s="10"/>
      <c r="S155" s="8"/>
      <c r="T155" s="8"/>
      <c r="U155" s="8"/>
      <c r="V155" s="8"/>
      <c r="W155" s="8"/>
      <c r="X155" s="8"/>
      <c r="Y155" s="8"/>
      <c r="Z155" s="8"/>
      <c r="AA155" s="8"/>
      <c r="AB15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D5CB-706A-4B0E-93D9-73FFBDE84D90}">
  <dimension ref="A3:L15"/>
  <sheetViews>
    <sheetView tabSelected="1" topLeftCell="A10" workbookViewId="0">
      <selection activeCell="B3" sqref="B3"/>
    </sheetView>
  </sheetViews>
  <sheetFormatPr defaultRowHeight="15" x14ac:dyDescent="0.25"/>
  <cols>
    <col min="1" max="1" width="33.5703125" bestFit="1" customWidth="1"/>
    <col min="2" max="2" width="16.85546875" bestFit="1" customWidth="1"/>
    <col min="3" max="3" width="18.5703125" bestFit="1" customWidth="1"/>
    <col min="4" max="4" width="11" bestFit="1" customWidth="1"/>
    <col min="5" max="5" width="16.140625" bestFit="1" customWidth="1"/>
    <col min="6" max="6" width="14.42578125" bestFit="1" customWidth="1"/>
    <col min="7" max="7" width="16.7109375" bestFit="1" customWidth="1"/>
    <col min="8" max="8" width="17.5703125" bestFit="1" customWidth="1"/>
    <col min="9" max="9" width="16.85546875" bestFit="1" customWidth="1"/>
    <col min="10" max="10" width="20" bestFit="1" customWidth="1"/>
    <col min="11" max="11" width="9.7109375" bestFit="1" customWidth="1"/>
    <col min="12" max="12" width="11.28515625" bestFit="1" customWidth="1"/>
    <col min="13" max="13" width="28.28515625" bestFit="1" customWidth="1"/>
    <col min="14" max="14" width="26.42578125" bestFit="1" customWidth="1"/>
    <col min="15" max="15" width="28.28515625" bestFit="1" customWidth="1"/>
    <col min="16" max="16" width="26.42578125" bestFit="1" customWidth="1"/>
    <col min="17" max="17" width="28.28515625" bestFit="1" customWidth="1"/>
    <col min="18" max="18" width="31.42578125" bestFit="1" customWidth="1"/>
    <col min="19" max="19" width="33.28515625" bestFit="1" customWidth="1"/>
    <col min="20" max="20" width="30.5703125" bestFit="1" customWidth="1"/>
    <col min="21" max="21" width="20.7109375" bestFit="1" customWidth="1"/>
    <col min="22" max="22" width="30.5703125" bestFit="1" customWidth="1"/>
    <col min="23" max="23" width="20.7109375" bestFit="1" customWidth="1"/>
    <col min="24" max="24" width="30.5703125" bestFit="1" customWidth="1"/>
    <col min="25" max="25" width="20.7109375" bestFit="1" customWidth="1"/>
    <col min="26" max="26" width="30.5703125" bestFit="1" customWidth="1"/>
    <col min="27" max="27" width="20.7109375" bestFit="1" customWidth="1"/>
    <col min="28" max="28" width="30.5703125" bestFit="1" customWidth="1"/>
    <col min="29" max="29" width="20.7109375" bestFit="1" customWidth="1"/>
    <col min="30" max="30" width="35.5703125" bestFit="1" customWidth="1"/>
    <col min="31" max="31" width="25.85546875" bestFit="1" customWidth="1"/>
    <col min="32" max="131" width="10" bestFit="1" customWidth="1"/>
    <col min="132" max="132" width="11.28515625" bestFit="1" customWidth="1"/>
  </cols>
  <sheetData>
    <row r="3" spans="1:12" x14ac:dyDescent="0.25">
      <c r="A3" s="3" t="s">
        <v>71</v>
      </c>
      <c r="B3" s="3" t="s">
        <v>54</v>
      </c>
    </row>
    <row r="4" spans="1:12" x14ac:dyDescent="0.25">
      <c r="A4" s="3" t="s">
        <v>52</v>
      </c>
      <c r="B4" t="s">
        <v>7</v>
      </c>
      <c r="C4" t="s">
        <v>56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72</v>
      </c>
      <c r="J4" t="s">
        <v>74</v>
      </c>
      <c r="K4" t="s">
        <v>75</v>
      </c>
      <c r="L4" t="s">
        <v>53</v>
      </c>
    </row>
    <row r="5" spans="1:12" x14ac:dyDescent="0.25">
      <c r="A5" s="4">
        <v>0</v>
      </c>
      <c r="B5" s="7">
        <v>1379504.32</v>
      </c>
      <c r="C5" s="7">
        <v>1379504.32</v>
      </c>
      <c r="D5" s="7">
        <v>1379504.32</v>
      </c>
      <c r="E5" s="7">
        <v>1379504.32</v>
      </c>
      <c r="F5" s="7">
        <v>1379504.32</v>
      </c>
      <c r="G5" s="7">
        <v>1379504.32</v>
      </c>
      <c r="H5" s="7">
        <v>1379504.32</v>
      </c>
      <c r="I5" s="7">
        <v>1379504.32</v>
      </c>
      <c r="J5" s="7">
        <v>1396309.45599999</v>
      </c>
      <c r="K5" s="7">
        <v>1379504.32</v>
      </c>
      <c r="L5" s="7">
        <v>13811848.335999992</v>
      </c>
    </row>
    <row r="6" spans="1:12" x14ac:dyDescent="0.25">
      <c r="A6" s="4">
        <v>1</v>
      </c>
      <c r="B6" s="7">
        <v>1379442.72</v>
      </c>
      <c r="C6" s="7">
        <v>1379442.71999999</v>
      </c>
      <c r="D6" s="7">
        <v>1379442.71999999</v>
      </c>
      <c r="E6" s="7">
        <v>1379442.72</v>
      </c>
      <c r="F6" s="7">
        <v>1379442.71999999</v>
      </c>
      <c r="G6" s="7">
        <v>1379442.72</v>
      </c>
      <c r="H6" s="7">
        <v>1379442.71999999</v>
      </c>
      <c r="I6" s="7">
        <v>1379442.72</v>
      </c>
      <c r="J6" s="7">
        <v>1396305.4399999899</v>
      </c>
      <c r="K6" s="7">
        <v>1379442.71999999</v>
      </c>
      <c r="L6" s="7">
        <v>13811289.91999994</v>
      </c>
    </row>
    <row r="7" spans="1:12" x14ac:dyDescent="0.25">
      <c r="A7" s="4">
        <v>2</v>
      </c>
      <c r="B7" s="7">
        <v>1232595.2479999999</v>
      </c>
      <c r="C7" s="7">
        <v>1367148.8319999899</v>
      </c>
      <c r="D7" s="7">
        <v>1318198.48</v>
      </c>
      <c r="E7" s="7">
        <v>1232595.2479999999</v>
      </c>
      <c r="F7" s="7">
        <v>1243408.8160000001</v>
      </c>
      <c r="G7" s="7">
        <v>1236302.192</v>
      </c>
      <c r="H7" s="7">
        <v>1225231.1040000001</v>
      </c>
      <c r="I7" s="7">
        <v>1232595.2479999999</v>
      </c>
      <c r="J7" s="7">
        <v>1229434.97599999</v>
      </c>
      <c r="K7" s="7">
        <v>1224353.216</v>
      </c>
      <c r="L7" s="7">
        <v>12541863.359999981</v>
      </c>
    </row>
    <row r="8" spans="1:12" x14ac:dyDescent="0.25">
      <c r="A8" s="4">
        <v>3</v>
      </c>
      <c r="B8" s="7">
        <v>1122346.06399999</v>
      </c>
      <c r="C8" s="7">
        <v>1354394.784</v>
      </c>
      <c r="D8" s="7">
        <v>1256047.2</v>
      </c>
      <c r="E8" s="7">
        <v>1134521.4719999901</v>
      </c>
      <c r="F8" s="7">
        <v>1107960.736</v>
      </c>
      <c r="G8" s="7">
        <v>1116589.4719999901</v>
      </c>
      <c r="H8" s="7">
        <v>1097751.6639999901</v>
      </c>
      <c r="I8" s="7">
        <v>1164119.088</v>
      </c>
      <c r="J8" s="7">
        <v>1097386.048</v>
      </c>
      <c r="K8" s="7">
        <v>1038216.52799999</v>
      </c>
      <c r="L8" s="7">
        <v>11489333.05599995</v>
      </c>
    </row>
    <row r="9" spans="1:12" x14ac:dyDescent="0.25">
      <c r="A9" s="4">
        <v>4</v>
      </c>
      <c r="B9" s="7">
        <v>1019124.09599999</v>
      </c>
      <c r="C9" s="7">
        <v>1341486.78399999</v>
      </c>
      <c r="D9" s="7">
        <v>1188589.264</v>
      </c>
      <c r="E9" s="7">
        <v>960019.55199999595</v>
      </c>
      <c r="F9" s="7">
        <v>1003403.00799999</v>
      </c>
      <c r="G9" s="7">
        <v>1019234.768</v>
      </c>
      <c r="H9" s="7">
        <v>999510.22400000005</v>
      </c>
      <c r="I9" s="7">
        <v>1062449.824</v>
      </c>
      <c r="J9" s="7">
        <v>999124.20799999801</v>
      </c>
      <c r="K9" s="7">
        <v>943415.02399999904</v>
      </c>
      <c r="L9" s="7">
        <v>10536356.751999963</v>
      </c>
    </row>
    <row r="10" spans="1:12" x14ac:dyDescent="0.25">
      <c r="A10" s="4">
        <v>5</v>
      </c>
      <c r="B10" s="7">
        <v>943355.43999999797</v>
      </c>
      <c r="C10" s="7">
        <v>1329725.28</v>
      </c>
      <c r="D10" s="7">
        <v>1153623.264</v>
      </c>
      <c r="E10" s="7">
        <v>839892.24000000104</v>
      </c>
      <c r="F10" s="7">
        <v>903656.27200000302</v>
      </c>
      <c r="G10" s="7">
        <v>941269.69599999895</v>
      </c>
      <c r="H10" s="7">
        <v>911472.81599999999</v>
      </c>
      <c r="I10" s="7">
        <v>975790.94400000095</v>
      </c>
      <c r="J10" s="7">
        <v>920156.00000000198</v>
      </c>
      <c r="K10" s="7">
        <v>848928.78400000103</v>
      </c>
      <c r="L10" s="7">
        <v>9767870.7360000052</v>
      </c>
    </row>
    <row r="11" spans="1:12" x14ac:dyDescent="0.25">
      <c r="A11" s="4">
        <v>6</v>
      </c>
      <c r="B11" s="7">
        <v>887153.85599999805</v>
      </c>
      <c r="C11" s="7">
        <v>1323381.8079999899</v>
      </c>
      <c r="D11" s="7">
        <v>1107929.92</v>
      </c>
      <c r="E11" s="7">
        <v>772404.62399999704</v>
      </c>
      <c r="F11" s="7">
        <v>856034.78399999999</v>
      </c>
      <c r="G11" s="7">
        <v>852324.495999999</v>
      </c>
      <c r="H11" s="7">
        <v>831964.95999999903</v>
      </c>
      <c r="I11" s="7">
        <v>892580.576</v>
      </c>
      <c r="J11" s="7">
        <v>850773.055999998</v>
      </c>
      <c r="K11" s="7">
        <v>774876.175999998</v>
      </c>
      <c r="L11" s="7">
        <v>9149424.2559999786</v>
      </c>
    </row>
    <row r="12" spans="1:12" x14ac:dyDescent="0.25">
      <c r="A12" s="4">
        <v>7</v>
      </c>
      <c r="B12" s="7">
        <v>805372.56</v>
      </c>
      <c r="C12" s="7">
        <v>1310079.2319999901</v>
      </c>
      <c r="D12" s="7">
        <v>1046842.8959999901</v>
      </c>
      <c r="E12" s="7">
        <v>679687.13599999901</v>
      </c>
      <c r="F12" s="7">
        <v>771334.65600000101</v>
      </c>
      <c r="G12" s="7">
        <v>786825.82400000002</v>
      </c>
      <c r="H12" s="7">
        <v>758212.04799999902</v>
      </c>
      <c r="I12" s="7">
        <v>797010.24</v>
      </c>
      <c r="J12" s="7">
        <v>774307.91999999899</v>
      </c>
      <c r="K12" s="7">
        <v>698896.14399999997</v>
      </c>
      <c r="L12" s="7">
        <v>8428568.655999979</v>
      </c>
    </row>
    <row r="13" spans="1:12" x14ac:dyDescent="0.25">
      <c r="A13" s="4">
        <v>8</v>
      </c>
      <c r="B13" s="7">
        <v>745304.75200000103</v>
      </c>
      <c r="C13" s="7">
        <v>1302645.39199999</v>
      </c>
      <c r="D13" s="7">
        <v>1017113.51999999</v>
      </c>
      <c r="E13" s="7">
        <v>618902.17599999998</v>
      </c>
      <c r="F13" s="7">
        <v>715915.66399999696</v>
      </c>
      <c r="G13" s="7">
        <v>716993.45599999896</v>
      </c>
      <c r="H13" s="7">
        <v>661491.93599999906</v>
      </c>
      <c r="I13" s="7">
        <v>727653.15199999802</v>
      </c>
      <c r="J13" s="7">
        <v>686746.03199999896</v>
      </c>
      <c r="K13" s="7">
        <v>629958.04799999995</v>
      </c>
      <c r="L13" s="7">
        <v>7822724.1279999726</v>
      </c>
    </row>
    <row r="14" spans="1:12" x14ac:dyDescent="0.25">
      <c r="A14" s="4">
        <v>9</v>
      </c>
      <c r="B14" s="7">
        <v>691212.048000001</v>
      </c>
      <c r="C14" s="7">
        <v>1292043.63199999</v>
      </c>
      <c r="D14" s="7">
        <v>973686.60800000001</v>
      </c>
      <c r="E14" s="7">
        <v>563646.81599999801</v>
      </c>
      <c r="F14" s="7">
        <v>657093.10400000098</v>
      </c>
      <c r="G14" s="7">
        <v>658835.728</v>
      </c>
      <c r="H14" s="7">
        <v>594712.22400000005</v>
      </c>
      <c r="I14" s="7">
        <v>654441.951999999</v>
      </c>
      <c r="J14" s="7">
        <v>615222.73599999805</v>
      </c>
      <c r="K14" s="7">
        <v>557103.13599999901</v>
      </c>
      <c r="L14" s="7">
        <v>7257997.9839999862</v>
      </c>
    </row>
    <row r="15" spans="1:12" x14ac:dyDescent="0.25">
      <c r="A15" s="4">
        <v>10</v>
      </c>
      <c r="B15" s="7">
        <v>625571.47199999797</v>
      </c>
      <c r="C15" s="7">
        <v>1285793.7279999901</v>
      </c>
      <c r="D15" s="7">
        <v>928033.40800000005</v>
      </c>
      <c r="E15" s="7">
        <v>484916.41599999898</v>
      </c>
      <c r="F15" s="7">
        <v>580118.06399999897</v>
      </c>
      <c r="G15" s="7">
        <v>572735.02399999695</v>
      </c>
      <c r="H15" s="7">
        <v>525871.98400000005</v>
      </c>
      <c r="I15" s="7">
        <v>607010.60800000001</v>
      </c>
      <c r="J15" s="7">
        <v>538126.35199999996</v>
      </c>
      <c r="K15" s="7">
        <v>485150.16000000102</v>
      </c>
      <c r="L15" s="7">
        <v>6633327.2159999842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</vt:lpstr>
      <vt:lpstr>Estimates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J Daigneault</dc:creator>
  <cp:lastModifiedBy>Adam J Daigneault</cp:lastModifiedBy>
  <dcterms:created xsi:type="dcterms:W3CDTF">2026-02-03T19:24:58Z</dcterms:created>
  <dcterms:modified xsi:type="dcterms:W3CDTF">2026-05-12T18:19:30Z</dcterms:modified>
</cp:coreProperties>
</file>