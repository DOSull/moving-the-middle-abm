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atch" sheetId="1" state="visible" r:id="rId3"/>
  </sheets>
  <calcPr iterateCount="100" refMode="R1C1" iterate="false" iterateDelta="0.001"/>
  <extLst>
    <ext xmlns:loext="http://schemas.libreoffice.org/" uri="{7626C862-2A13-11E5-B345-FEFF819CDC9F}">
      <loext:extCalcPr stringRefSyntax="ExcelR1C1"/>
    </ext>
  </extLst>
</workbook>
</file>

<file path=xl/sharedStrings.xml><?xml version="1.0" encoding="utf-8"?>
<sst xmlns="http://schemas.openxmlformats.org/spreadsheetml/2006/main" count="41" uniqueCount="17">
  <si>
    <t xml:space="preserve">Costs</t>
  </si>
  <si>
    <t xml:space="preserve">Yields</t>
  </si>
  <si>
    <t xml:space="preserve">LUC</t>
  </si>
  <si>
    <t xml:space="preserve">SNB</t>
  </si>
  <si>
    <t xml:space="preserve">Dairy</t>
  </si>
  <si>
    <t xml:space="preserve">Forest</t>
  </si>
  <si>
    <t xml:space="preserve">Crop</t>
  </si>
  <si>
    <t xml:space="preserve">Prices:</t>
  </si>
  <si>
    <t xml:space="preserve">Total costs</t>
  </si>
  <si>
    <t xml:space="preserve">Total income</t>
  </si>
  <si>
    <t xml:space="preserve">Profit</t>
  </si>
  <si>
    <t xml:space="preserve">Proportional change in profit</t>
  </si>
  <si>
    <t xml:space="preserve">No interventions</t>
  </si>
  <si>
    <t xml:space="preserve">Build_Wetland</t>
  </si>
  <si>
    <t xml:space="preserve">Riparian_Planting</t>
  </si>
  <si>
    <t xml:space="preserve">Clean_Races</t>
  </si>
  <si>
    <t xml:space="preserve">Farm_Plan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</si>
</sst>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5" min="2" style="0" width="6.57"/>
    <col collapsed="false" customWidth="true" hidden="false" outlineLevel="0" max="6" min="6" style="0" width="6.69"/>
    <col collapsed="false" customWidth="true" hidden="false" outlineLevel="0" max="10" min="7" style="0" width="6.57"/>
    <col collapsed="false" customWidth="true" hidden="false" outlineLevel="0" max="11" min="11" style="0" width="6.81"/>
    <col collapsed="false" customWidth="true" hidden="false" outlineLevel="0" max="15" min="12" style="0" width="6.69"/>
    <col collapsed="false" customWidth="true" hidden="false" outlineLevel="0" max="16" min="16" style="0" width="6.44"/>
    <col collapsed="false" customWidth="true" hidden="false" outlineLevel="0" max="20" min="17" style="2" width="6.57"/>
  </cols>
  <sheetData>
    <row r="1" s="1" customFormat="true" ht="12.8" hidden="false" customHeight="false" outlineLevel="0" collapsed="false">
      <c r="A1" s="0"/>
      <c r="B1" s="3" t="s">
        <v>0</v>
      </c>
      <c r="C1" s="3"/>
      <c r="D1" s="3"/>
      <c r="E1" s="3"/>
      <c r="F1" s="0"/>
      <c r="G1" s="3" t="s">
        <v>1</v>
      </c>
      <c r="H1" s="3"/>
      <c r="I1" s="3"/>
      <c r="J1" s="3"/>
      <c r="L1" s="0"/>
      <c r="M1" s="0"/>
      <c r="N1" s="0"/>
      <c r="O1" s="0"/>
      <c r="Q1" s="4"/>
      <c r="R1" s="4"/>
      <c r="S1" s="4"/>
      <c r="T1" s="4"/>
      <c r="U1" s="0"/>
      <c r="XFD1" s="0"/>
    </row>
    <row r="2" s="1" customFormat="true" ht="12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0"/>
      <c r="G2" s="1" t="s">
        <v>3</v>
      </c>
      <c r="H2" s="1" t="s">
        <v>4</v>
      </c>
      <c r="I2" s="1" t="s">
        <v>5</v>
      </c>
      <c r="J2" s="1" t="s">
        <v>6</v>
      </c>
      <c r="L2" s="0"/>
      <c r="M2" s="0"/>
      <c r="N2" s="0"/>
      <c r="O2" s="0"/>
      <c r="Q2" s="4"/>
      <c r="R2" s="4"/>
      <c r="S2" s="4"/>
      <c r="T2" s="4"/>
      <c r="U2" s="0"/>
      <c r="XFD2" s="0"/>
    </row>
    <row r="3" s="6" customFormat="true" ht="12.8" hidden="false" customHeight="false" outlineLevel="0" collapsed="false">
      <c r="A3" s="5" t="n">
        <v>1</v>
      </c>
      <c r="B3" s="6" t="n">
        <v>3500</v>
      </c>
      <c r="C3" s="6" t="n">
        <v>9500</v>
      </c>
      <c r="D3" s="6" t="n">
        <v>4000</v>
      </c>
      <c r="E3" s="6" t="n">
        <v>3000</v>
      </c>
      <c r="F3" s="0"/>
      <c r="G3" s="6" t="n">
        <v>768.51</v>
      </c>
      <c r="H3" s="6" t="n">
        <v>1503</v>
      </c>
      <c r="I3" s="6" t="n">
        <v>30</v>
      </c>
      <c r="J3" s="6" t="n">
        <v>9667</v>
      </c>
      <c r="L3" s="0"/>
      <c r="M3" s="0"/>
      <c r="N3" s="0"/>
      <c r="O3" s="0"/>
      <c r="Q3" s="2"/>
      <c r="R3" s="2"/>
      <c r="S3" s="2"/>
      <c r="T3" s="2"/>
      <c r="U3" s="0"/>
      <c r="XFD3" s="0"/>
    </row>
    <row r="4" s="6" customFormat="true" ht="12.8" hidden="false" customHeight="false" outlineLevel="0" collapsed="false">
      <c r="A4" s="5" t="n">
        <v>2</v>
      </c>
      <c r="B4" s="6" t="n">
        <v>2650</v>
      </c>
      <c r="C4" s="6" t="n">
        <v>8050</v>
      </c>
      <c r="D4" s="6" t="n">
        <v>4000</v>
      </c>
      <c r="E4" s="6" t="n">
        <v>2850</v>
      </c>
      <c r="F4" s="0"/>
      <c r="G4" s="6" t="n">
        <v>581.25</v>
      </c>
      <c r="H4" s="6" t="n">
        <v>1283</v>
      </c>
      <c r="I4" s="6" t="n">
        <v>29</v>
      </c>
      <c r="J4" s="6" t="n">
        <v>9183.65</v>
      </c>
      <c r="L4" s="0"/>
      <c r="M4" s="0"/>
      <c r="N4" s="0"/>
      <c r="O4" s="0"/>
      <c r="Q4" s="2"/>
      <c r="R4" s="2"/>
      <c r="S4" s="2"/>
      <c r="T4" s="2"/>
      <c r="U4" s="0"/>
      <c r="XFD4" s="0"/>
    </row>
    <row r="5" s="6" customFormat="true" ht="12.8" hidden="false" customHeight="false" outlineLevel="0" collapsed="false">
      <c r="A5" s="5" t="n">
        <v>3</v>
      </c>
      <c r="B5" s="6" t="n">
        <v>1625</v>
      </c>
      <c r="C5" s="6" t="n">
        <v>7350</v>
      </c>
      <c r="D5" s="6" t="n">
        <v>3850</v>
      </c>
      <c r="E5" s="6" t="n">
        <v>2675</v>
      </c>
      <c r="F5" s="0"/>
      <c r="G5" s="6" t="n">
        <v>372.37</v>
      </c>
      <c r="H5" s="6" t="n">
        <v>1174.3</v>
      </c>
      <c r="I5" s="6" t="n">
        <v>28</v>
      </c>
      <c r="J5" s="6" t="n">
        <v>8724.47</v>
      </c>
      <c r="L5" s="0"/>
      <c r="M5" s="0"/>
      <c r="N5" s="0"/>
      <c r="O5" s="0"/>
      <c r="Q5" s="2"/>
      <c r="R5" s="2"/>
      <c r="S5" s="2"/>
      <c r="T5" s="2"/>
      <c r="U5" s="0"/>
      <c r="XFD5" s="0"/>
    </row>
    <row r="6" s="6" customFormat="true" ht="12.8" hidden="false" customHeight="false" outlineLevel="0" collapsed="false">
      <c r="A6" s="5" t="n">
        <v>4</v>
      </c>
      <c r="B6" s="6" t="n">
        <v>1450</v>
      </c>
      <c r="C6" s="6" t="n">
        <v>5500</v>
      </c>
      <c r="D6" s="6" t="n">
        <v>3700</v>
      </c>
      <c r="E6" s="6" t="n">
        <v>2500</v>
      </c>
      <c r="F6" s="0"/>
      <c r="G6" s="6" t="n">
        <v>332.18</v>
      </c>
      <c r="H6" s="6" t="n">
        <v>923.39</v>
      </c>
      <c r="I6" s="6" t="n">
        <v>27</v>
      </c>
      <c r="J6" s="6" t="n">
        <v>8288.24</v>
      </c>
      <c r="L6" s="0"/>
      <c r="M6" s="0"/>
      <c r="N6" s="0"/>
      <c r="O6" s="0"/>
      <c r="Q6" s="2"/>
      <c r="R6" s="2"/>
      <c r="S6" s="2"/>
      <c r="T6" s="2"/>
      <c r="U6" s="0"/>
      <c r="XFD6" s="0"/>
    </row>
    <row r="7" s="6" customFormat="true" ht="12.8" hidden="false" customHeight="false" outlineLevel="0" collapsed="false">
      <c r="A7" s="5" t="n">
        <v>5</v>
      </c>
      <c r="B7" s="6" t="n">
        <v>1110</v>
      </c>
      <c r="C7" s="6" t="n">
        <v>5200</v>
      </c>
      <c r="D7" s="6" t="n">
        <v>3550</v>
      </c>
      <c r="E7" s="6" t="n">
        <v>2400</v>
      </c>
      <c r="F7" s="0"/>
      <c r="G7" s="6" t="n">
        <v>259.48</v>
      </c>
      <c r="H7" s="6" t="n">
        <v>877.73</v>
      </c>
      <c r="I7" s="6" t="n">
        <v>26</v>
      </c>
      <c r="J7" s="6" t="n">
        <v>7873.83</v>
      </c>
      <c r="L7" s="0"/>
      <c r="M7" s="0"/>
      <c r="N7" s="0"/>
      <c r="O7" s="0"/>
      <c r="Q7" s="2"/>
      <c r="R7" s="2"/>
      <c r="S7" s="2"/>
      <c r="T7" s="2"/>
      <c r="U7" s="0"/>
      <c r="XFD7" s="0"/>
    </row>
    <row r="8" s="6" customFormat="true" ht="12.8" hidden="false" customHeight="false" outlineLevel="0" collapsed="false">
      <c r="A8" s="5" t="n">
        <v>6</v>
      </c>
      <c r="B8" s="6" t="n">
        <v>875</v>
      </c>
      <c r="C8" s="6" t="n">
        <v>5000</v>
      </c>
      <c r="D8" s="6" t="n">
        <v>3500</v>
      </c>
      <c r="E8" s="6" t="n">
        <v>2200</v>
      </c>
      <c r="F8" s="0"/>
      <c r="G8" s="6" t="n">
        <v>207.39</v>
      </c>
      <c r="H8" s="6" t="n">
        <v>845.78</v>
      </c>
      <c r="I8" s="6" t="n">
        <v>25</v>
      </c>
      <c r="J8" s="6" t="n">
        <v>7480.14</v>
      </c>
      <c r="L8" s="0"/>
      <c r="M8" s="0"/>
      <c r="N8" s="0"/>
      <c r="O8" s="0"/>
      <c r="Q8" s="2"/>
      <c r="R8" s="2"/>
      <c r="S8" s="2"/>
      <c r="T8" s="2"/>
      <c r="U8" s="0"/>
      <c r="XFD8" s="0"/>
    </row>
    <row r="9" s="6" customFormat="true" ht="12.8" hidden="false" customHeight="false" outlineLevel="0" collapsed="false">
      <c r="A9" s="5" t="n">
        <v>7</v>
      </c>
      <c r="B9" s="6" t="n">
        <v>810</v>
      </c>
      <c r="C9" s="6" t="n">
        <v>4000</v>
      </c>
      <c r="D9" s="6" t="n">
        <v>3375</v>
      </c>
      <c r="E9" s="6" t="n">
        <v>2100</v>
      </c>
      <c r="F9" s="0"/>
      <c r="G9" s="6" t="n">
        <v>193.19</v>
      </c>
      <c r="H9" s="6" t="n">
        <v>700</v>
      </c>
      <c r="I9" s="6" t="n">
        <v>24</v>
      </c>
      <c r="J9" s="6" t="n">
        <v>7106.13</v>
      </c>
      <c r="L9" s="0"/>
      <c r="M9" s="0"/>
      <c r="N9" s="0"/>
      <c r="O9" s="0"/>
      <c r="Q9" s="2"/>
      <c r="R9" s="2"/>
      <c r="S9" s="2"/>
      <c r="T9" s="2"/>
      <c r="U9" s="0"/>
      <c r="XFD9" s="0"/>
    </row>
    <row r="10" s="6" customFormat="true" ht="12.8" hidden="false" customHeight="false" outlineLevel="0" collapsed="false">
      <c r="A10" s="5" t="n">
        <v>8</v>
      </c>
      <c r="B10" s="6" t="n">
        <v>125</v>
      </c>
      <c r="C10" s="6" t="n">
        <v>4000</v>
      </c>
      <c r="D10" s="6" t="n">
        <v>3250</v>
      </c>
      <c r="E10" s="6" t="n">
        <v>2000</v>
      </c>
      <c r="F10" s="0"/>
      <c r="G10" s="6" t="n">
        <v>49.95</v>
      </c>
      <c r="H10" s="6" t="n">
        <v>661</v>
      </c>
      <c r="I10" s="6" t="n">
        <v>23</v>
      </c>
      <c r="J10" s="6" t="n">
        <v>6750.83</v>
      </c>
      <c r="L10" s="0"/>
      <c r="M10" s="0"/>
      <c r="N10" s="0"/>
      <c r="O10" s="0"/>
      <c r="Q10" s="2"/>
      <c r="R10" s="2"/>
      <c r="S10" s="2"/>
      <c r="T10" s="2"/>
      <c r="U10" s="0"/>
      <c r="XFD10" s="0"/>
    </row>
    <row r="12" s="1" customFormat="true" ht="12.8" hidden="false" customHeight="false" outlineLevel="0" collapsed="false">
      <c r="F12" s="1" t="s">
        <v>7</v>
      </c>
      <c r="G12" s="1" t="s">
        <v>3</v>
      </c>
      <c r="H12" s="1" t="s">
        <v>4</v>
      </c>
      <c r="I12" s="1" t="s">
        <v>5</v>
      </c>
      <c r="J12" s="1" t="s">
        <v>6</v>
      </c>
      <c r="Q12" s="4"/>
      <c r="R12" s="4"/>
      <c r="S12" s="4"/>
      <c r="T12" s="4"/>
    </row>
    <row r="13" customFormat="false" ht="12.8" hidden="false" customHeight="false" outlineLevel="0" collapsed="false">
      <c r="G13" s="0" t="n">
        <v>5</v>
      </c>
      <c r="H13" s="0" t="n">
        <v>7.5</v>
      </c>
      <c r="I13" s="0" t="n">
        <v>157</v>
      </c>
      <c r="J13" s="0" t="n">
        <v>0.5</v>
      </c>
    </row>
    <row r="15" s="1" customFormat="true" ht="12.8" hidden="false" customHeight="false" outlineLevel="0" collapsed="false">
      <c r="B15" s="3" t="s">
        <v>8</v>
      </c>
      <c r="C15" s="3"/>
      <c r="D15" s="3"/>
      <c r="E15" s="3"/>
      <c r="G15" s="3" t="s">
        <v>9</v>
      </c>
      <c r="H15" s="3"/>
      <c r="I15" s="3"/>
      <c r="J15" s="3"/>
      <c r="L15" s="3" t="s">
        <v>10</v>
      </c>
      <c r="M15" s="3"/>
      <c r="N15" s="3"/>
      <c r="O15" s="3"/>
      <c r="Q15" s="7" t="s">
        <v>11</v>
      </c>
      <c r="R15" s="7"/>
      <c r="S15" s="7"/>
      <c r="T15" s="7"/>
    </row>
    <row r="16" s="1" customFormat="true" ht="12.8" hidden="false" customHeight="false" outlineLevel="0" collapsed="false">
      <c r="B16" s="1" t="s">
        <v>3</v>
      </c>
      <c r="C16" s="1" t="s">
        <v>4</v>
      </c>
      <c r="D16" s="1" t="s">
        <v>5</v>
      </c>
      <c r="E16" s="1" t="s">
        <v>6</v>
      </c>
      <c r="F16" s="0"/>
      <c r="G16" s="1" t="s">
        <v>3</v>
      </c>
      <c r="H16" s="1" t="s">
        <v>4</v>
      </c>
      <c r="I16" s="1" t="s">
        <v>5</v>
      </c>
      <c r="J16" s="1" t="s">
        <v>6</v>
      </c>
      <c r="L16" s="1" t="s">
        <v>3</v>
      </c>
      <c r="M16" s="1" t="s">
        <v>4</v>
      </c>
      <c r="N16" s="1" t="s">
        <v>5</v>
      </c>
      <c r="O16" s="1" t="s">
        <v>6</v>
      </c>
      <c r="Q16" s="4" t="s">
        <v>3</v>
      </c>
      <c r="R16" s="4" t="s">
        <v>4</v>
      </c>
      <c r="S16" s="4" t="s">
        <v>5</v>
      </c>
      <c r="T16" s="4" t="s">
        <v>6</v>
      </c>
      <c r="U16" s="0"/>
      <c r="XFD16" s="0"/>
    </row>
    <row r="17" s="1" customFormat="true" ht="12.8" hidden="false" customHeight="false" outlineLevel="0" collapsed="false">
      <c r="A17" s="1" t="s">
        <v>12</v>
      </c>
      <c r="Q17" s="4"/>
      <c r="R17" s="4"/>
      <c r="S17" s="4"/>
      <c r="T17" s="4"/>
    </row>
    <row r="18" s="1" customFormat="true" ht="12.8" hidden="false" customHeight="false" outlineLevel="0" collapsed="false">
      <c r="B18" s="1" t="n">
        <v>0</v>
      </c>
      <c r="C18" s="1" t="n">
        <v>0</v>
      </c>
      <c r="D18" s="1" t="n">
        <v>0</v>
      </c>
      <c r="E18" s="1" t="n">
        <v>0</v>
      </c>
      <c r="F18" s="0"/>
      <c r="G18" s="1" t="n">
        <v>0</v>
      </c>
      <c r="H18" s="1" t="n">
        <v>0</v>
      </c>
      <c r="I18" s="1" t="n">
        <v>0</v>
      </c>
      <c r="J18" s="1" t="n">
        <v>0</v>
      </c>
      <c r="Q18" s="4"/>
      <c r="R18" s="4"/>
      <c r="S18" s="4"/>
      <c r="T18" s="4"/>
      <c r="U18" s="0"/>
      <c r="XFD18" s="0"/>
    </row>
    <row r="19" s="6" customFormat="true" ht="12.8" hidden="false" customHeight="false" outlineLevel="0" collapsed="false">
      <c r="A19" s="5" t="n">
        <v>1</v>
      </c>
      <c r="B19" s="6" t="n">
        <f aca="true">INDIRECT(_xlfn.CONCAT("R[",-$A19,"]C"))+INDIRECT(_xlfn.CONCAT("R",$A19+2,"C"))</f>
        <v>3500</v>
      </c>
      <c r="C19" s="6" t="n">
        <f aca="true">INDIRECT(_xlfn.CONCAT("R[",-$A19,"]C"))+INDIRECT(_xlfn.CONCAT("R",$A19+2,"C"))</f>
        <v>9500</v>
      </c>
      <c r="D19" s="6" t="n">
        <f aca="true">INDIRECT(_xlfn.CONCAT("R[",-$A19,"]C"))+INDIRECT(_xlfn.CONCAT("R",$A19+2,"C"))</f>
        <v>4000</v>
      </c>
      <c r="E19" s="6" t="n">
        <f aca="true">INDIRECT(_xlfn.CONCAT("R[",-$A19,"]C"))+INDIRECT(_xlfn.CONCAT("R",$A19+2,"C"))</f>
        <v>3000</v>
      </c>
      <c r="F19" s="0"/>
      <c r="G19" s="6" t="n">
        <f aca="true">(1+INDIRECT(_xlfn.CONCAT("R[",-$A19,"]C")))*INDIRECT(_xlfn.CONCAT("R",$A19+2,"C"))*G$13</f>
        <v>3842.55</v>
      </c>
      <c r="H19" s="6" t="n">
        <f aca="true">(1+INDIRECT(_xlfn.CONCAT("R[",-$A19,"]C")))*INDIRECT(_xlfn.CONCAT("R",$A19+2,"C"))*H$13</f>
        <v>11272.5</v>
      </c>
      <c r="I19" s="6" t="n">
        <f aca="true">(1+INDIRECT(_xlfn.CONCAT("R[",-$A19,"]C")))*INDIRECT(_xlfn.CONCAT("R",$A19+2,"C"))*I$13</f>
        <v>4710</v>
      </c>
      <c r="J19" s="6" t="n">
        <f aca="true">(1+INDIRECT(_xlfn.CONCAT("R[",-$A19,"]C")))*INDIRECT(_xlfn.CONCAT("R",$A19+2,"C"))*J$13</f>
        <v>4833.5</v>
      </c>
      <c r="L19" s="6" t="n">
        <f aca="false">G19-B19</f>
        <v>342.55</v>
      </c>
      <c r="M19" s="6" t="n">
        <f aca="false">H19-C19</f>
        <v>1772.5</v>
      </c>
      <c r="N19" s="6" t="n">
        <f aca="false">I19-D19</f>
        <v>710</v>
      </c>
      <c r="O19" s="6" t="n">
        <f aca="false">J19-E19</f>
        <v>1833.5</v>
      </c>
      <c r="Q19" s="2" t="n">
        <f aca="true">L19/INDIRECT(_xlfn.CONCAT("R",$A19+18,"C[-5]"))</f>
        <v>1</v>
      </c>
      <c r="R19" s="2" t="n">
        <f aca="true">M19/INDIRECT(_xlfn.CONCAT("R",$A19+18,"C[-5]"))</f>
        <v>1</v>
      </c>
      <c r="S19" s="2" t="n">
        <f aca="true">N19/INDIRECT(_xlfn.CONCAT("R",$A19+18,"C[-5]"))</f>
        <v>1</v>
      </c>
      <c r="T19" s="2" t="n">
        <f aca="true">O19/INDIRECT(_xlfn.CONCAT("R",$A19+18,"C[-5]"))</f>
        <v>1</v>
      </c>
      <c r="U19" s="0"/>
      <c r="XFD19" s="0"/>
    </row>
    <row r="20" s="6" customFormat="true" ht="12.8" hidden="false" customHeight="false" outlineLevel="0" collapsed="false">
      <c r="A20" s="5" t="n">
        <v>2</v>
      </c>
      <c r="B20" s="6" t="n">
        <f aca="true">INDIRECT(_xlfn.CONCAT("R[",-$A20,"]C"))+INDIRECT(_xlfn.CONCAT("R",$A20+2,"C"))</f>
        <v>2650</v>
      </c>
      <c r="C20" s="6" t="n">
        <f aca="true">INDIRECT(_xlfn.CONCAT("R[",-$A20,"]C"))+INDIRECT(_xlfn.CONCAT("R",$A20+2,"C"))</f>
        <v>8050</v>
      </c>
      <c r="D20" s="6" t="n">
        <f aca="true">INDIRECT(_xlfn.CONCAT("R[",-$A20,"]C"))+INDIRECT(_xlfn.CONCAT("R",$A20+2,"C"))</f>
        <v>4000</v>
      </c>
      <c r="E20" s="6" t="n">
        <f aca="true">INDIRECT(_xlfn.CONCAT("R[",-$A20,"]C"))+INDIRECT(_xlfn.CONCAT("R",$A20+2,"C"))</f>
        <v>2850</v>
      </c>
      <c r="F20" s="0"/>
      <c r="G20" s="6" t="n">
        <f aca="true">(1+INDIRECT(_xlfn.CONCAT("R[",-$A20,"]C")))*INDIRECT(_xlfn.CONCAT("R",$A20+2,"C"))*G$13</f>
        <v>2906.25</v>
      </c>
      <c r="H20" s="6" t="n">
        <f aca="true">(1+INDIRECT(_xlfn.CONCAT("R[",-$A20,"]C")))*INDIRECT(_xlfn.CONCAT("R",$A20+2,"C"))*H$13</f>
        <v>9622.5</v>
      </c>
      <c r="I20" s="6" t="n">
        <f aca="true">(1+INDIRECT(_xlfn.CONCAT("R[",-$A20,"]C")))*INDIRECT(_xlfn.CONCAT("R",$A20+2,"C"))*I$13</f>
        <v>4553</v>
      </c>
      <c r="J20" s="6" t="n">
        <f aca="true">(1+INDIRECT(_xlfn.CONCAT("R[",-$A20,"]C")))*INDIRECT(_xlfn.CONCAT("R",$A20+2,"C"))*J$13</f>
        <v>4591.825</v>
      </c>
      <c r="L20" s="6" t="n">
        <f aca="false">G20-B20</f>
        <v>256.25</v>
      </c>
      <c r="M20" s="6" t="n">
        <f aca="false">H20-C20</f>
        <v>1572.5</v>
      </c>
      <c r="N20" s="6" t="n">
        <f aca="false">I20-D20</f>
        <v>553</v>
      </c>
      <c r="O20" s="6" t="n">
        <f aca="false">J20-E20</f>
        <v>1741.825</v>
      </c>
      <c r="Q20" s="2" t="n">
        <f aca="true">L20/INDIRECT(_xlfn.CONCAT("R",$A20+18,"C[-5]"))</f>
        <v>1</v>
      </c>
      <c r="R20" s="2" t="n">
        <f aca="true">M20/INDIRECT(_xlfn.CONCAT("R",$A20+18,"C[-5]"))</f>
        <v>1</v>
      </c>
      <c r="S20" s="2" t="n">
        <f aca="true">N20/INDIRECT(_xlfn.CONCAT("R",$A20+18,"C[-5]"))</f>
        <v>1</v>
      </c>
      <c r="T20" s="2" t="n">
        <f aca="true">O20/INDIRECT(_xlfn.CONCAT("R",$A20+18,"C[-5]"))</f>
        <v>1</v>
      </c>
      <c r="U20" s="0"/>
      <c r="XFD20" s="0"/>
    </row>
    <row r="21" s="6" customFormat="true" ht="12.8" hidden="false" customHeight="false" outlineLevel="0" collapsed="false">
      <c r="A21" s="5" t="n">
        <v>3</v>
      </c>
      <c r="B21" s="6" t="n">
        <f aca="true">INDIRECT(_xlfn.CONCAT("R[",-$A21,"]C"))+INDIRECT(_xlfn.CONCAT("R",$A21+2,"C"))</f>
        <v>1625</v>
      </c>
      <c r="C21" s="6" t="n">
        <f aca="true">INDIRECT(_xlfn.CONCAT("R[",-$A21,"]C"))+INDIRECT(_xlfn.CONCAT("R",$A21+2,"C"))</f>
        <v>7350</v>
      </c>
      <c r="D21" s="6" t="n">
        <f aca="true">INDIRECT(_xlfn.CONCAT("R[",-$A21,"]C"))+INDIRECT(_xlfn.CONCAT("R",$A21+2,"C"))</f>
        <v>3850</v>
      </c>
      <c r="E21" s="6" t="n">
        <f aca="true">INDIRECT(_xlfn.CONCAT("R[",-$A21,"]C"))+INDIRECT(_xlfn.CONCAT("R",$A21+2,"C"))</f>
        <v>2675</v>
      </c>
      <c r="F21" s="0"/>
      <c r="G21" s="6" t="n">
        <f aca="true">(1+INDIRECT(_xlfn.CONCAT("R[",-$A21,"]C")))*INDIRECT(_xlfn.CONCAT("R",$A21+2,"C"))*G$13</f>
        <v>1861.85</v>
      </c>
      <c r="H21" s="6" t="n">
        <f aca="true">(1+INDIRECT(_xlfn.CONCAT("R[",-$A21,"]C")))*INDIRECT(_xlfn.CONCAT("R",$A21+2,"C"))*H$13</f>
        <v>8807.25</v>
      </c>
      <c r="I21" s="6" t="n">
        <f aca="true">(1+INDIRECT(_xlfn.CONCAT("R[",-$A21,"]C")))*INDIRECT(_xlfn.CONCAT("R",$A21+2,"C"))*I$13</f>
        <v>4396</v>
      </c>
      <c r="J21" s="6" t="n">
        <f aca="true">(1+INDIRECT(_xlfn.CONCAT("R[",-$A21,"]C")))*INDIRECT(_xlfn.CONCAT("R",$A21+2,"C"))*J$13</f>
        <v>4362.235</v>
      </c>
      <c r="L21" s="6" t="n">
        <f aca="false">G21-B21</f>
        <v>236.85</v>
      </c>
      <c r="M21" s="6" t="n">
        <f aca="false">H21-C21</f>
        <v>1457.25</v>
      </c>
      <c r="N21" s="6" t="n">
        <f aca="false">I21-D21</f>
        <v>546</v>
      </c>
      <c r="O21" s="6" t="n">
        <f aca="false">J21-E21</f>
        <v>1687.235</v>
      </c>
      <c r="Q21" s="2" t="n">
        <f aca="true">L21/INDIRECT(_xlfn.CONCAT("R",$A21+18,"C[-5]"))</f>
        <v>1</v>
      </c>
      <c r="R21" s="2" t="n">
        <f aca="true">M21/INDIRECT(_xlfn.CONCAT("R",$A21+18,"C[-5]"))</f>
        <v>1</v>
      </c>
      <c r="S21" s="2" t="n">
        <f aca="true">N21/INDIRECT(_xlfn.CONCAT("R",$A21+18,"C[-5]"))</f>
        <v>1</v>
      </c>
      <c r="T21" s="2" t="n">
        <f aca="true">O21/INDIRECT(_xlfn.CONCAT("R",$A21+18,"C[-5]"))</f>
        <v>1</v>
      </c>
      <c r="U21" s="0"/>
      <c r="XFD21" s="0"/>
    </row>
    <row r="22" s="6" customFormat="true" ht="12.8" hidden="false" customHeight="false" outlineLevel="0" collapsed="false">
      <c r="A22" s="5" t="n">
        <v>4</v>
      </c>
      <c r="B22" s="6" t="n">
        <f aca="true">INDIRECT(_xlfn.CONCAT("R[",-$A22,"]C"))+INDIRECT(_xlfn.CONCAT("R",$A22+2,"C"))</f>
        <v>1450</v>
      </c>
      <c r="C22" s="6" t="n">
        <f aca="true">INDIRECT(_xlfn.CONCAT("R[",-$A22,"]C"))+INDIRECT(_xlfn.CONCAT("R",$A22+2,"C"))</f>
        <v>5500</v>
      </c>
      <c r="D22" s="6" t="n">
        <f aca="true">INDIRECT(_xlfn.CONCAT("R[",-$A22,"]C"))+INDIRECT(_xlfn.CONCAT("R",$A22+2,"C"))</f>
        <v>3700</v>
      </c>
      <c r="E22" s="6" t="n">
        <f aca="true">INDIRECT(_xlfn.CONCAT("R[",-$A22,"]C"))+INDIRECT(_xlfn.CONCAT("R",$A22+2,"C"))</f>
        <v>2500</v>
      </c>
      <c r="F22" s="0"/>
      <c r="G22" s="6" t="n">
        <f aca="true">(1+INDIRECT(_xlfn.CONCAT("R[",-$A22,"]C")))*INDIRECT(_xlfn.CONCAT("R",$A22+2,"C"))*G$13</f>
        <v>1660.9</v>
      </c>
      <c r="H22" s="6" t="n">
        <f aca="true">(1+INDIRECT(_xlfn.CONCAT("R[",-$A22,"]C")))*INDIRECT(_xlfn.CONCAT("R",$A22+2,"C"))*H$13</f>
        <v>6925.425</v>
      </c>
      <c r="I22" s="6" t="n">
        <f aca="true">(1+INDIRECT(_xlfn.CONCAT("R[",-$A22,"]C")))*INDIRECT(_xlfn.CONCAT("R",$A22+2,"C"))*I$13</f>
        <v>4239</v>
      </c>
      <c r="J22" s="6" t="n">
        <f aca="true">(1+INDIRECT(_xlfn.CONCAT("R[",-$A22,"]C")))*INDIRECT(_xlfn.CONCAT("R",$A22+2,"C"))*J$13</f>
        <v>4144.12</v>
      </c>
      <c r="L22" s="6" t="n">
        <f aca="false">G22-B22</f>
        <v>210.9</v>
      </c>
      <c r="M22" s="6" t="n">
        <f aca="false">H22-C22</f>
        <v>1425.425</v>
      </c>
      <c r="N22" s="6" t="n">
        <f aca="false">I22-D22</f>
        <v>539</v>
      </c>
      <c r="O22" s="6" t="n">
        <f aca="false">J22-E22</f>
        <v>1644.12</v>
      </c>
      <c r="Q22" s="2" t="n">
        <f aca="true">L22/INDIRECT(_xlfn.CONCAT("R",$A22+18,"C[-5]"))</f>
        <v>1</v>
      </c>
      <c r="R22" s="2" t="n">
        <f aca="true">M22/INDIRECT(_xlfn.CONCAT("R",$A22+18,"C[-5]"))</f>
        <v>1</v>
      </c>
      <c r="S22" s="2" t="n">
        <f aca="true">N22/INDIRECT(_xlfn.CONCAT("R",$A22+18,"C[-5]"))</f>
        <v>1</v>
      </c>
      <c r="T22" s="2" t="n">
        <f aca="true">O22/INDIRECT(_xlfn.CONCAT("R",$A22+18,"C[-5]"))</f>
        <v>1</v>
      </c>
      <c r="U22" s="0"/>
      <c r="XFD22" s="0"/>
    </row>
    <row r="23" s="6" customFormat="true" ht="12.8" hidden="false" customHeight="false" outlineLevel="0" collapsed="false">
      <c r="A23" s="5" t="n">
        <v>5</v>
      </c>
      <c r="B23" s="6" t="n">
        <f aca="true">INDIRECT(_xlfn.CONCAT("R[",-$A23,"]C"))+INDIRECT(_xlfn.CONCAT("R",$A23+2,"C"))</f>
        <v>1110</v>
      </c>
      <c r="C23" s="6" t="n">
        <f aca="true">INDIRECT(_xlfn.CONCAT("R[",-$A23,"]C"))+INDIRECT(_xlfn.CONCAT("R",$A23+2,"C"))</f>
        <v>5200</v>
      </c>
      <c r="D23" s="6" t="n">
        <f aca="true">INDIRECT(_xlfn.CONCAT("R[",-$A23,"]C"))+INDIRECT(_xlfn.CONCAT("R",$A23+2,"C"))</f>
        <v>3550</v>
      </c>
      <c r="E23" s="6" t="n">
        <f aca="true">INDIRECT(_xlfn.CONCAT("R[",-$A23,"]C"))+INDIRECT(_xlfn.CONCAT("R",$A23+2,"C"))</f>
        <v>2400</v>
      </c>
      <c r="F23" s="0"/>
      <c r="G23" s="6" t="n">
        <f aca="true">(1+INDIRECT(_xlfn.CONCAT("R[",-$A23,"]C")))*INDIRECT(_xlfn.CONCAT("R",$A23+2,"C"))*G$13</f>
        <v>1297.4</v>
      </c>
      <c r="H23" s="6" t="n">
        <f aca="true">(1+INDIRECT(_xlfn.CONCAT("R[",-$A23,"]C")))*INDIRECT(_xlfn.CONCAT("R",$A23+2,"C"))*H$13</f>
        <v>6582.975</v>
      </c>
      <c r="I23" s="6" t="n">
        <f aca="true">(1+INDIRECT(_xlfn.CONCAT("R[",-$A23,"]C")))*INDIRECT(_xlfn.CONCAT("R",$A23+2,"C"))*I$13</f>
        <v>4082</v>
      </c>
      <c r="J23" s="6" t="n">
        <f aca="true">(1+INDIRECT(_xlfn.CONCAT("R[",-$A23,"]C")))*INDIRECT(_xlfn.CONCAT("R",$A23+2,"C"))*J$13</f>
        <v>3936.915</v>
      </c>
      <c r="L23" s="6" t="n">
        <f aca="false">G23-B23</f>
        <v>187.4</v>
      </c>
      <c r="M23" s="6" t="n">
        <f aca="false">H23-C23</f>
        <v>1382.975</v>
      </c>
      <c r="N23" s="6" t="n">
        <f aca="false">I23-D23</f>
        <v>532</v>
      </c>
      <c r="O23" s="6" t="n">
        <f aca="false">J23-E23</f>
        <v>1536.915</v>
      </c>
      <c r="Q23" s="2" t="n">
        <f aca="true">L23/INDIRECT(_xlfn.CONCAT("R",$A23+18,"C[-5]"))</f>
        <v>1</v>
      </c>
      <c r="R23" s="2" t="n">
        <f aca="true">M23/INDIRECT(_xlfn.CONCAT("R",$A23+18,"C[-5]"))</f>
        <v>1</v>
      </c>
      <c r="S23" s="2" t="n">
        <f aca="true">N23/INDIRECT(_xlfn.CONCAT("R",$A23+18,"C[-5]"))</f>
        <v>1</v>
      </c>
      <c r="T23" s="2" t="n">
        <f aca="true">O23/INDIRECT(_xlfn.CONCAT("R",$A23+18,"C[-5]"))</f>
        <v>1</v>
      </c>
      <c r="U23" s="0"/>
      <c r="XFD23" s="0"/>
    </row>
    <row r="24" s="6" customFormat="true" ht="12.8" hidden="false" customHeight="false" outlineLevel="0" collapsed="false">
      <c r="A24" s="5" t="n">
        <v>6</v>
      </c>
      <c r="B24" s="6" t="n">
        <f aca="true">INDIRECT(_xlfn.CONCAT("R[",-$A24,"]C"))+INDIRECT(_xlfn.CONCAT("R",$A24+2,"C"))</f>
        <v>875</v>
      </c>
      <c r="C24" s="6" t="n">
        <f aca="true">INDIRECT(_xlfn.CONCAT("R[",-$A24,"]C"))+INDIRECT(_xlfn.CONCAT("R",$A24+2,"C"))</f>
        <v>5000</v>
      </c>
      <c r="D24" s="6" t="n">
        <f aca="true">INDIRECT(_xlfn.CONCAT("R[",-$A24,"]C"))+INDIRECT(_xlfn.CONCAT("R",$A24+2,"C"))</f>
        <v>3500</v>
      </c>
      <c r="E24" s="6" t="n">
        <f aca="true">INDIRECT(_xlfn.CONCAT("R[",-$A24,"]C"))+INDIRECT(_xlfn.CONCAT("R",$A24+2,"C"))</f>
        <v>2200</v>
      </c>
      <c r="F24" s="0"/>
      <c r="G24" s="6" t="n">
        <f aca="true">(1+INDIRECT(_xlfn.CONCAT("R[",-$A24,"]C")))*INDIRECT(_xlfn.CONCAT("R",$A24+2,"C"))*G$13</f>
        <v>1036.95</v>
      </c>
      <c r="H24" s="6" t="n">
        <f aca="true">(1+INDIRECT(_xlfn.CONCAT("R[",-$A24,"]C")))*INDIRECT(_xlfn.CONCAT("R",$A24+2,"C"))*H$13</f>
        <v>6343.35</v>
      </c>
      <c r="I24" s="6" t="n">
        <f aca="true">(1+INDIRECT(_xlfn.CONCAT("R[",-$A24,"]C")))*INDIRECT(_xlfn.CONCAT("R",$A24+2,"C"))*I$13</f>
        <v>3925</v>
      </c>
      <c r="J24" s="6" t="n">
        <f aca="true">(1+INDIRECT(_xlfn.CONCAT("R[",-$A24,"]C")))*INDIRECT(_xlfn.CONCAT("R",$A24+2,"C"))*J$13</f>
        <v>3740.07</v>
      </c>
      <c r="L24" s="6" t="n">
        <f aca="false">G24-B24</f>
        <v>161.95</v>
      </c>
      <c r="M24" s="6" t="n">
        <f aca="false">H24-C24</f>
        <v>1343.35</v>
      </c>
      <c r="N24" s="6" t="n">
        <f aca="false">I24-D24</f>
        <v>425</v>
      </c>
      <c r="O24" s="6" t="n">
        <f aca="false">J24-E24</f>
        <v>1540.07</v>
      </c>
      <c r="Q24" s="2" t="n">
        <f aca="true">L24/INDIRECT(_xlfn.CONCAT("R",$A24+18,"C[-5]"))</f>
        <v>1</v>
      </c>
      <c r="R24" s="2" t="n">
        <f aca="true">M24/INDIRECT(_xlfn.CONCAT("R",$A24+18,"C[-5]"))</f>
        <v>1</v>
      </c>
      <c r="S24" s="2" t="n">
        <f aca="true">N24/INDIRECT(_xlfn.CONCAT("R",$A24+18,"C[-5]"))</f>
        <v>1</v>
      </c>
      <c r="T24" s="2" t="n">
        <f aca="true">O24/INDIRECT(_xlfn.CONCAT("R",$A24+18,"C[-5]"))</f>
        <v>1</v>
      </c>
      <c r="U24" s="0"/>
      <c r="XFD24" s="0"/>
    </row>
    <row r="25" s="6" customFormat="true" ht="12.8" hidden="false" customHeight="false" outlineLevel="0" collapsed="false">
      <c r="A25" s="5" t="n">
        <v>7</v>
      </c>
      <c r="B25" s="6" t="n">
        <f aca="true">INDIRECT(_xlfn.CONCAT("R[",-$A25,"]C"))+INDIRECT(_xlfn.CONCAT("R",$A25+2,"C"))</f>
        <v>810</v>
      </c>
      <c r="C25" s="6" t="n">
        <f aca="true">INDIRECT(_xlfn.CONCAT("R[",-$A25,"]C"))+INDIRECT(_xlfn.CONCAT("R",$A25+2,"C"))</f>
        <v>4000</v>
      </c>
      <c r="D25" s="6" t="n">
        <f aca="true">INDIRECT(_xlfn.CONCAT("R[",-$A25,"]C"))+INDIRECT(_xlfn.CONCAT("R",$A25+2,"C"))</f>
        <v>3375</v>
      </c>
      <c r="E25" s="6" t="n">
        <f aca="true">INDIRECT(_xlfn.CONCAT("R[",-$A25,"]C"))+INDIRECT(_xlfn.CONCAT("R",$A25+2,"C"))</f>
        <v>2100</v>
      </c>
      <c r="F25" s="0"/>
      <c r="G25" s="6" t="n">
        <f aca="true">(1+INDIRECT(_xlfn.CONCAT("R[",-$A25,"]C")))*INDIRECT(_xlfn.CONCAT("R",$A25+2,"C"))*G$13</f>
        <v>965.95</v>
      </c>
      <c r="H25" s="6" t="n">
        <f aca="true">(1+INDIRECT(_xlfn.CONCAT("R[",-$A25,"]C")))*INDIRECT(_xlfn.CONCAT("R",$A25+2,"C"))*H$13</f>
        <v>5250</v>
      </c>
      <c r="I25" s="6" t="n">
        <f aca="true">(1+INDIRECT(_xlfn.CONCAT("R[",-$A25,"]C")))*INDIRECT(_xlfn.CONCAT("R",$A25+2,"C"))*I$13</f>
        <v>3768</v>
      </c>
      <c r="J25" s="6" t="n">
        <f aca="true">(1+INDIRECT(_xlfn.CONCAT("R[",-$A25,"]C")))*INDIRECT(_xlfn.CONCAT("R",$A25+2,"C"))*J$13</f>
        <v>3553.065</v>
      </c>
      <c r="L25" s="6" t="n">
        <f aca="false">G25-B25</f>
        <v>155.95</v>
      </c>
      <c r="M25" s="6" t="n">
        <f aca="false">H25-C25</f>
        <v>1250</v>
      </c>
      <c r="N25" s="6" t="n">
        <f aca="false">I25-D25</f>
        <v>393</v>
      </c>
      <c r="O25" s="6" t="n">
        <f aca="false">J25-E25</f>
        <v>1453.065</v>
      </c>
      <c r="Q25" s="2" t="n">
        <f aca="true">L25/INDIRECT(_xlfn.CONCAT("R",$A25+18,"C[-5]"))</f>
        <v>1</v>
      </c>
      <c r="R25" s="2" t="n">
        <f aca="true">M25/INDIRECT(_xlfn.CONCAT("R",$A25+18,"C[-5]"))</f>
        <v>1</v>
      </c>
      <c r="S25" s="2" t="n">
        <f aca="true">N25/INDIRECT(_xlfn.CONCAT("R",$A25+18,"C[-5]"))</f>
        <v>1</v>
      </c>
      <c r="T25" s="2" t="n">
        <f aca="true">O25/INDIRECT(_xlfn.CONCAT("R",$A25+18,"C[-5]"))</f>
        <v>1</v>
      </c>
      <c r="U25" s="0"/>
      <c r="XFD25" s="0"/>
    </row>
    <row r="26" s="6" customFormat="true" ht="12.8" hidden="false" customHeight="false" outlineLevel="0" collapsed="false">
      <c r="A26" s="5" t="n">
        <v>8</v>
      </c>
      <c r="B26" s="6" t="n">
        <f aca="true">INDIRECT(_xlfn.CONCAT("R[",-$A26,"]C"))+INDIRECT(_xlfn.CONCAT("R",$A26+2,"C"))</f>
        <v>125</v>
      </c>
      <c r="C26" s="6" t="n">
        <f aca="true">INDIRECT(_xlfn.CONCAT("R[",-$A26,"]C"))+INDIRECT(_xlfn.CONCAT("R",$A26+2,"C"))</f>
        <v>4000</v>
      </c>
      <c r="D26" s="6" t="n">
        <f aca="true">INDIRECT(_xlfn.CONCAT("R[",-$A26,"]C"))+INDIRECT(_xlfn.CONCAT("R",$A26+2,"C"))</f>
        <v>3250</v>
      </c>
      <c r="E26" s="6" t="n">
        <f aca="true">INDIRECT(_xlfn.CONCAT("R[",-$A26,"]C"))+INDIRECT(_xlfn.CONCAT("R",$A26+2,"C"))</f>
        <v>2000</v>
      </c>
      <c r="F26" s="0"/>
      <c r="G26" s="6" t="n">
        <f aca="true">(1+INDIRECT(_xlfn.CONCAT("R[",-$A26,"]C")))*INDIRECT(_xlfn.CONCAT("R",$A26+2,"C"))*G$13</f>
        <v>249.75</v>
      </c>
      <c r="H26" s="6" t="n">
        <f aca="true">(1+INDIRECT(_xlfn.CONCAT("R[",-$A26,"]C")))*INDIRECT(_xlfn.CONCAT("R",$A26+2,"C"))*H$13</f>
        <v>4957.5</v>
      </c>
      <c r="I26" s="6" t="n">
        <f aca="true">(1+INDIRECT(_xlfn.CONCAT("R[",-$A26,"]C")))*INDIRECT(_xlfn.CONCAT("R",$A26+2,"C"))*I$13</f>
        <v>3611</v>
      </c>
      <c r="J26" s="6" t="n">
        <f aca="true">(1+INDIRECT(_xlfn.CONCAT("R[",-$A26,"]C")))*INDIRECT(_xlfn.CONCAT("R",$A26+2,"C"))*J$13</f>
        <v>3375.415</v>
      </c>
      <c r="L26" s="6" t="n">
        <f aca="false">G26-B26</f>
        <v>124.75</v>
      </c>
      <c r="M26" s="6" t="n">
        <f aca="false">H26-C26</f>
        <v>957.5</v>
      </c>
      <c r="N26" s="6" t="n">
        <f aca="false">I26-D26</f>
        <v>361</v>
      </c>
      <c r="O26" s="6" t="n">
        <f aca="false">J26-E26</f>
        <v>1375.415</v>
      </c>
      <c r="Q26" s="2" t="n">
        <f aca="true">L26/INDIRECT(_xlfn.CONCAT("R",$A26+18,"C[-5]"))</f>
        <v>1</v>
      </c>
      <c r="R26" s="2" t="n">
        <f aca="true">M26/INDIRECT(_xlfn.CONCAT("R",$A26+18,"C[-5]"))</f>
        <v>1</v>
      </c>
      <c r="S26" s="2" t="n">
        <f aca="true">N26/INDIRECT(_xlfn.CONCAT("R",$A26+18,"C[-5]"))</f>
        <v>1</v>
      </c>
      <c r="T26" s="2" t="n">
        <f aca="true">O26/INDIRECT(_xlfn.CONCAT("R",$A26+18,"C[-5]"))</f>
        <v>1</v>
      </c>
      <c r="U26" s="0"/>
      <c r="XFD26" s="0"/>
    </row>
    <row r="27" s="6" customFormat="true" ht="12.8" hidden="false" customHeight="false" outlineLevel="0" collapsed="false">
      <c r="A27" s="5"/>
      <c r="F27" s="0"/>
      <c r="Q27" s="2"/>
      <c r="R27" s="2"/>
      <c r="S27" s="2"/>
      <c r="T27" s="2"/>
      <c r="U27" s="0"/>
      <c r="XFD27" s="0"/>
    </row>
    <row r="28" customFormat="false" ht="12.8" hidden="false" customHeight="false" outlineLevel="0" collapsed="false">
      <c r="A28" s="1" t="s">
        <v>13</v>
      </c>
    </row>
    <row r="29" s="1" customFormat="true" ht="12.8" hidden="false" customHeight="false" outlineLevel="0" collapsed="false">
      <c r="A29" s="0"/>
      <c r="B29" s="1" t="n">
        <v>2.5</v>
      </c>
      <c r="C29" s="1" t="n">
        <v>2.5</v>
      </c>
      <c r="D29" s="1" t="n">
        <v>0</v>
      </c>
      <c r="E29" s="1" t="n">
        <v>2.5</v>
      </c>
      <c r="F29" s="0"/>
      <c r="G29" s="1" t="n">
        <v>-0.2</v>
      </c>
      <c r="H29" s="1" t="n">
        <v>-0.02</v>
      </c>
      <c r="I29" s="1" t="n">
        <v>0</v>
      </c>
      <c r="J29" s="1" t="n">
        <v>-0.1</v>
      </c>
      <c r="Q29" s="4"/>
      <c r="R29" s="4"/>
      <c r="S29" s="4"/>
      <c r="T29" s="4"/>
      <c r="U29" s="0"/>
      <c r="XFD29" s="0"/>
    </row>
    <row r="30" s="6" customFormat="true" ht="12.8" hidden="false" customHeight="false" outlineLevel="0" collapsed="false">
      <c r="A30" s="5" t="n">
        <v>1</v>
      </c>
      <c r="B30" s="6" t="n">
        <f aca="true">INDIRECT(_xlfn.CONCAT("R[",-$A30,"]C"))+INDIRECT(_xlfn.CONCAT("R",$A30+2,"C"))</f>
        <v>3502.5</v>
      </c>
      <c r="C30" s="6" t="n">
        <f aca="true">INDIRECT(_xlfn.CONCAT("R[",-$A30,"]C"))+INDIRECT(_xlfn.CONCAT("R",$A30+2,"C"))</f>
        <v>9502.5</v>
      </c>
      <c r="D30" s="6" t="n">
        <f aca="true">INDIRECT(_xlfn.CONCAT("R[",-$A30,"]C"))+INDIRECT(_xlfn.CONCAT("R",$A30+2,"C"))</f>
        <v>4000</v>
      </c>
      <c r="E30" s="6" t="n">
        <f aca="true">INDIRECT(_xlfn.CONCAT("R[",-$A30,"]C"))+INDIRECT(_xlfn.CONCAT("R",$A30+2,"C"))</f>
        <v>3002.5</v>
      </c>
      <c r="F30" s="0"/>
      <c r="G30" s="6" t="n">
        <f aca="true">(1+INDIRECT(_xlfn.CONCAT("R[",-$A30,"]C")))*INDIRECT(_xlfn.CONCAT("R",$A30+2,"C"))*G$13</f>
        <v>3074.04</v>
      </c>
      <c r="H30" s="6" t="n">
        <f aca="true">(1+INDIRECT(_xlfn.CONCAT("R[",-$A30,"]C")))*INDIRECT(_xlfn.CONCAT("R",$A30+2,"C"))*H$13</f>
        <v>11047.05</v>
      </c>
      <c r="I30" s="6" t="n">
        <f aca="true">(1+INDIRECT(_xlfn.CONCAT("R[",-$A30,"]C")))*INDIRECT(_xlfn.CONCAT("R",$A30+2,"C"))*I$13</f>
        <v>4710</v>
      </c>
      <c r="J30" s="6" t="n">
        <f aca="true">(1+INDIRECT(_xlfn.CONCAT("R[",-$A30,"]C")))*INDIRECT(_xlfn.CONCAT("R",$A30+2,"C"))*J$13</f>
        <v>4350.15</v>
      </c>
      <c r="L30" s="6" t="n">
        <f aca="false">G30-B30</f>
        <v>-428.46</v>
      </c>
      <c r="M30" s="6" t="n">
        <f aca="false">H30-C30</f>
        <v>1544.55</v>
      </c>
      <c r="N30" s="6" t="n">
        <f aca="false">I30-D30</f>
        <v>710</v>
      </c>
      <c r="O30" s="6" t="n">
        <f aca="false">J30-E30</f>
        <v>1347.65</v>
      </c>
      <c r="Q30" s="2" t="n">
        <f aca="true">L30/INDIRECT(_xlfn.CONCAT("R",$A30+18,"C[-5]"))</f>
        <v>-1.25079550430594</v>
      </c>
      <c r="R30" s="2" t="n">
        <f aca="true">M30/INDIRECT(_xlfn.CONCAT("R",$A30+18,"C[-5]"))</f>
        <v>0.871396332863188</v>
      </c>
      <c r="S30" s="2" t="n">
        <f aca="true">N30/INDIRECT(_xlfn.CONCAT("R",$A30+18,"C[-5]"))</f>
        <v>1</v>
      </c>
      <c r="T30" s="2" t="n">
        <f aca="true">O30/INDIRECT(_xlfn.CONCAT("R",$A30+18,"C[-5]"))</f>
        <v>0.735014998636488</v>
      </c>
      <c r="U30" s="0"/>
      <c r="XFD30" s="0"/>
    </row>
    <row r="31" s="6" customFormat="true" ht="12.8" hidden="false" customHeight="false" outlineLevel="0" collapsed="false">
      <c r="A31" s="5" t="n">
        <v>2</v>
      </c>
      <c r="B31" s="6" t="n">
        <f aca="true">INDIRECT(_xlfn.CONCAT("R[",-$A31,"]C"))+INDIRECT(_xlfn.CONCAT("R",$A31+2,"C"))</f>
        <v>2652.5</v>
      </c>
      <c r="C31" s="6" t="n">
        <f aca="true">INDIRECT(_xlfn.CONCAT("R[",-$A31,"]C"))+INDIRECT(_xlfn.CONCAT("R",$A31+2,"C"))</f>
        <v>8052.5</v>
      </c>
      <c r="D31" s="6" t="n">
        <f aca="true">INDIRECT(_xlfn.CONCAT("R[",-$A31,"]C"))+INDIRECT(_xlfn.CONCAT("R",$A31+2,"C"))</f>
        <v>4000</v>
      </c>
      <c r="E31" s="6" t="n">
        <f aca="true">INDIRECT(_xlfn.CONCAT("R[",-$A31,"]C"))+INDIRECT(_xlfn.CONCAT("R",$A31+2,"C"))</f>
        <v>2852.5</v>
      </c>
      <c r="F31" s="0"/>
      <c r="G31" s="6" t="n">
        <f aca="true">(1+INDIRECT(_xlfn.CONCAT("R[",-$A31,"]C")))*INDIRECT(_xlfn.CONCAT("R",$A31+2,"C"))*G$13</f>
        <v>2325</v>
      </c>
      <c r="H31" s="6" t="n">
        <f aca="true">(1+INDIRECT(_xlfn.CONCAT("R[",-$A31,"]C")))*INDIRECT(_xlfn.CONCAT("R",$A31+2,"C"))*H$13</f>
        <v>9430.05</v>
      </c>
      <c r="I31" s="6" t="n">
        <f aca="true">(1+INDIRECT(_xlfn.CONCAT("R[",-$A31,"]C")))*INDIRECT(_xlfn.CONCAT("R",$A31+2,"C"))*I$13</f>
        <v>4553</v>
      </c>
      <c r="J31" s="6" t="n">
        <f aca="true">(1+INDIRECT(_xlfn.CONCAT("R[",-$A31,"]C")))*INDIRECT(_xlfn.CONCAT("R",$A31+2,"C"))*J$13</f>
        <v>4132.6425</v>
      </c>
      <c r="L31" s="6" t="n">
        <f aca="false">G31-B31</f>
        <v>-327.5</v>
      </c>
      <c r="M31" s="6" t="n">
        <f aca="false">H31-C31</f>
        <v>1377.55</v>
      </c>
      <c r="N31" s="6" t="n">
        <f aca="false">I31-D31</f>
        <v>553</v>
      </c>
      <c r="O31" s="6" t="n">
        <f aca="false">J31-E31</f>
        <v>1280.1425</v>
      </c>
      <c r="Q31" s="2" t="n">
        <f aca="true">L31/INDIRECT(_xlfn.CONCAT("R",$A31+18,"C[-5]"))</f>
        <v>-1.27804878048781</v>
      </c>
      <c r="R31" s="2" t="n">
        <f aca="true">M31/INDIRECT(_xlfn.CONCAT("R",$A31+18,"C[-5]"))</f>
        <v>0.876025437201907</v>
      </c>
      <c r="S31" s="2" t="n">
        <f aca="true">N31/INDIRECT(_xlfn.CONCAT("R",$A31+18,"C[-5]"))</f>
        <v>1</v>
      </c>
      <c r="T31" s="2" t="n">
        <f aca="true">O31/INDIRECT(_xlfn.CONCAT("R",$A31+18,"C[-5]"))</f>
        <v>0.734943234825542</v>
      </c>
      <c r="U31" s="0"/>
      <c r="XFD31" s="0"/>
    </row>
    <row r="32" s="6" customFormat="true" ht="12.8" hidden="false" customHeight="false" outlineLevel="0" collapsed="false">
      <c r="A32" s="5" t="n">
        <v>3</v>
      </c>
      <c r="B32" s="6" t="n">
        <f aca="true">INDIRECT(_xlfn.CONCAT("R[",-$A32,"]C"))+INDIRECT(_xlfn.CONCAT("R",$A32+2,"C"))</f>
        <v>1627.5</v>
      </c>
      <c r="C32" s="6" t="n">
        <f aca="true">INDIRECT(_xlfn.CONCAT("R[",-$A32,"]C"))+INDIRECT(_xlfn.CONCAT("R",$A32+2,"C"))</f>
        <v>7352.5</v>
      </c>
      <c r="D32" s="6" t="n">
        <f aca="true">INDIRECT(_xlfn.CONCAT("R[",-$A32,"]C"))+INDIRECT(_xlfn.CONCAT("R",$A32+2,"C"))</f>
        <v>3850</v>
      </c>
      <c r="E32" s="6" t="n">
        <f aca="true">INDIRECT(_xlfn.CONCAT("R[",-$A32,"]C"))+INDIRECT(_xlfn.CONCAT("R",$A32+2,"C"))</f>
        <v>2677.5</v>
      </c>
      <c r="F32" s="0"/>
      <c r="G32" s="6" t="n">
        <f aca="true">(1+INDIRECT(_xlfn.CONCAT("R[",-$A32,"]C")))*INDIRECT(_xlfn.CONCAT("R",$A32+2,"C"))*G$13</f>
        <v>1489.48</v>
      </c>
      <c r="H32" s="6" t="n">
        <f aca="true">(1+INDIRECT(_xlfn.CONCAT("R[",-$A32,"]C")))*INDIRECT(_xlfn.CONCAT("R",$A32+2,"C"))*H$13</f>
        <v>8631.105</v>
      </c>
      <c r="I32" s="6" t="n">
        <f aca="true">(1+INDIRECT(_xlfn.CONCAT("R[",-$A32,"]C")))*INDIRECT(_xlfn.CONCAT("R",$A32+2,"C"))*I$13</f>
        <v>4396</v>
      </c>
      <c r="J32" s="6" t="n">
        <f aca="true">(1+INDIRECT(_xlfn.CONCAT("R[",-$A32,"]C")))*INDIRECT(_xlfn.CONCAT("R",$A32+2,"C"))*J$13</f>
        <v>3926.0115</v>
      </c>
      <c r="L32" s="6" t="n">
        <f aca="false">G32-B32</f>
        <v>-138.02</v>
      </c>
      <c r="M32" s="6" t="n">
        <f aca="false">H32-C32</f>
        <v>1278.605</v>
      </c>
      <c r="N32" s="6" t="n">
        <f aca="false">I32-D32</f>
        <v>546</v>
      </c>
      <c r="O32" s="6" t="n">
        <f aca="false">J32-E32</f>
        <v>1248.5115</v>
      </c>
      <c r="Q32" s="2" t="n">
        <f aca="true">L32/INDIRECT(_xlfn.CONCAT("R",$A32+18,"C[-5]"))</f>
        <v>-0.582731686721554</v>
      </c>
      <c r="R32" s="2" t="n">
        <f aca="true">M32/INDIRECT(_xlfn.CONCAT("R",$A32+18,"C[-5]"))</f>
        <v>0.877409504203122</v>
      </c>
      <c r="S32" s="2" t="n">
        <f aca="true">N32/INDIRECT(_xlfn.CONCAT("R",$A32+18,"C[-5]"))</f>
        <v>1</v>
      </c>
      <c r="T32" s="2" t="n">
        <f aca="true">O32/INDIRECT(_xlfn.CONCAT("R",$A32+18,"C[-5]"))</f>
        <v>0.739974870127753</v>
      </c>
      <c r="U32" s="0"/>
      <c r="XFD32" s="0"/>
    </row>
    <row r="33" s="6" customFormat="true" ht="12.8" hidden="false" customHeight="false" outlineLevel="0" collapsed="false">
      <c r="A33" s="5" t="n">
        <v>4</v>
      </c>
      <c r="B33" s="6" t="n">
        <f aca="true">INDIRECT(_xlfn.CONCAT("R[",-$A33,"]C"))+INDIRECT(_xlfn.CONCAT("R",$A33+2,"C"))</f>
        <v>1452.5</v>
      </c>
      <c r="C33" s="6" t="n">
        <f aca="true">INDIRECT(_xlfn.CONCAT("R[",-$A33,"]C"))+INDIRECT(_xlfn.CONCAT("R",$A33+2,"C"))</f>
        <v>5502.5</v>
      </c>
      <c r="D33" s="6" t="n">
        <f aca="true">INDIRECT(_xlfn.CONCAT("R[",-$A33,"]C"))+INDIRECT(_xlfn.CONCAT("R",$A33+2,"C"))</f>
        <v>3700</v>
      </c>
      <c r="E33" s="6" t="n">
        <f aca="true">INDIRECT(_xlfn.CONCAT("R[",-$A33,"]C"))+INDIRECT(_xlfn.CONCAT("R",$A33+2,"C"))</f>
        <v>2502.5</v>
      </c>
      <c r="F33" s="0"/>
      <c r="G33" s="6" t="n">
        <f aca="true">(1+INDIRECT(_xlfn.CONCAT("R[",-$A33,"]C")))*INDIRECT(_xlfn.CONCAT("R",$A33+2,"C"))*G$13</f>
        <v>1328.72</v>
      </c>
      <c r="H33" s="6" t="n">
        <f aca="true">(1+INDIRECT(_xlfn.CONCAT("R[",-$A33,"]C")))*INDIRECT(_xlfn.CONCAT("R",$A33+2,"C"))*H$13</f>
        <v>6786.9165</v>
      </c>
      <c r="I33" s="6" t="n">
        <f aca="true">(1+INDIRECT(_xlfn.CONCAT("R[",-$A33,"]C")))*INDIRECT(_xlfn.CONCAT("R",$A33+2,"C"))*I$13</f>
        <v>4239</v>
      </c>
      <c r="J33" s="6" t="n">
        <f aca="true">(1+INDIRECT(_xlfn.CONCAT("R[",-$A33,"]C")))*INDIRECT(_xlfn.CONCAT("R",$A33+2,"C"))*J$13</f>
        <v>3729.708</v>
      </c>
      <c r="L33" s="6" t="n">
        <f aca="false">G33-B33</f>
        <v>-123.78</v>
      </c>
      <c r="M33" s="6" t="n">
        <f aca="false">H33-C33</f>
        <v>1284.4165</v>
      </c>
      <c r="N33" s="6" t="n">
        <f aca="false">I33-D33</f>
        <v>539</v>
      </c>
      <c r="O33" s="6" t="n">
        <f aca="false">J33-E33</f>
        <v>1227.208</v>
      </c>
      <c r="Q33" s="2" t="n">
        <f aca="true">L33/INDIRECT(_xlfn.CONCAT("R",$A33+18,"C[-5]"))</f>
        <v>-0.586913229018491</v>
      </c>
      <c r="R33" s="2" t="n">
        <f aca="true">M33/INDIRECT(_xlfn.CONCAT("R",$A33+18,"C[-5]"))</f>
        <v>0.901076170265008</v>
      </c>
      <c r="S33" s="2" t="n">
        <f aca="true">N33/INDIRECT(_xlfn.CONCAT("R",$A33+18,"C[-5]"))</f>
        <v>1</v>
      </c>
      <c r="T33" s="2" t="n">
        <f aca="true">O33/INDIRECT(_xlfn.CONCAT("R",$A33+18,"C[-5]"))</f>
        <v>0.746422402257743</v>
      </c>
      <c r="U33" s="0"/>
      <c r="XFD33" s="0"/>
    </row>
    <row r="34" s="6" customFormat="true" ht="12.8" hidden="false" customHeight="false" outlineLevel="0" collapsed="false">
      <c r="A34" s="5" t="n">
        <v>5</v>
      </c>
      <c r="B34" s="6" t="n">
        <f aca="true">INDIRECT(_xlfn.CONCAT("R[",-$A34,"]C"))+INDIRECT(_xlfn.CONCAT("R",$A34+2,"C"))</f>
        <v>1112.5</v>
      </c>
      <c r="C34" s="6" t="n">
        <f aca="true">INDIRECT(_xlfn.CONCAT("R[",-$A34,"]C"))+INDIRECT(_xlfn.CONCAT("R",$A34+2,"C"))</f>
        <v>5202.5</v>
      </c>
      <c r="D34" s="6" t="n">
        <f aca="true">INDIRECT(_xlfn.CONCAT("R[",-$A34,"]C"))+INDIRECT(_xlfn.CONCAT("R",$A34+2,"C"))</f>
        <v>3550</v>
      </c>
      <c r="E34" s="6" t="n">
        <f aca="true">INDIRECT(_xlfn.CONCAT("R[",-$A34,"]C"))+INDIRECT(_xlfn.CONCAT("R",$A34+2,"C"))</f>
        <v>2402.5</v>
      </c>
      <c r="F34" s="0"/>
      <c r="G34" s="6" t="n">
        <f aca="true">(1+INDIRECT(_xlfn.CONCAT("R[",-$A34,"]C")))*INDIRECT(_xlfn.CONCAT("R",$A34+2,"C"))*G$13</f>
        <v>1037.92</v>
      </c>
      <c r="H34" s="6" t="n">
        <f aca="true">(1+INDIRECT(_xlfn.CONCAT("R[",-$A34,"]C")))*INDIRECT(_xlfn.CONCAT("R",$A34+2,"C"))*H$13</f>
        <v>6451.3155</v>
      </c>
      <c r="I34" s="6" t="n">
        <f aca="true">(1+INDIRECT(_xlfn.CONCAT("R[",-$A34,"]C")))*INDIRECT(_xlfn.CONCAT("R",$A34+2,"C"))*I$13</f>
        <v>4082</v>
      </c>
      <c r="J34" s="6" t="n">
        <f aca="true">(1+INDIRECT(_xlfn.CONCAT("R[",-$A34,"]C")))*INDIRECT(_xlfn.CONCAT("R",$A34+2,"C"))*J$13</f>
        <v>3543.2235</v>
      </c>
      <c r="L34" s="6" t="n">
        <f aca="false">G34-B34</f>
        <v>-74.5799999999999</v>
      </c>
      <c r="M34" s="6" t="n">
        <f aca="false">H34-C34</f>
        <v>1248.8155</v>
      </c>
      <c r="N34" s="6" t="n">
        <f aca="false">I34-D34</f>
        <v>532</v>
      </c>
      <c r="O34" s="6" t="n">
        <f aca="false">J34-E34</f>
        <v>1140.7235</v>
      </c>
      <c r="Q34" s="2" t="n">
        <f aca="true">L34/INDIRECT(_xlfn.CONCAT("R",$A34+18,"C[-5]"))</f>
        <v>-0.397972251867662</v>
      </c>
      <c r="R34" s="2" t="n">
        <f aca="true">M34/INDIRECT(_xlfn.CONCAT("R",$A34+18,"C[-5]"))</f>
        <v>0.902992100363347</v>
      </c>
      <c r="S34" s="2" t="n">
        <f aca="true">N34/INDIRECT(_xlfn.CONCAT("R",$A34+18,"C[-5]"))</f>
        <v>1</v>
      </c>
      <c r="T34" s="2" t="n">
        <f aca="true">O34/INDIRECT(_xlfn.CONCAT("R",$A34+18,"C[-5]"))</f>
        <v>0.742216388024061</v>
      </c>
      <c r="U34" s="0"/>
      <c r="XFD34" s="0"/>
    </row>
    <row r="35" s="6" customFormat="true" ht="12.8" hidden="false" customHeight="false" outlineLevel="0" collapsed="false">
      <c r="A35" s="5" t="n">
        <v>6</v>
      </c>
      <c r="B35" s="6" t="n">
        <f aca="true">INDIRECT(_xlfn.CONCAT("R[",-$A35,"]C"))+INDIRECT(_xlfn.CONCAT("R",$A35+2,"C"))</f>
        <v>877.5</v>
      </c>
      <c r="C35" s="6" t="n">
        <f aca="true">INDIRECT(_xlfn.CONCAT("R[",-$A35,"]C"))+INDIRECT(_xlfn.CONCAT("R",$A35+2,"C"))</f>
        <v>5002.5</v>
      </c>
      <c r="D35" s="6" t="n">
        <f aca="true">INDIRECT(_xlfn.CONCAT("R[",-$A35,"]C"))+INDIRECT(_xlfn.CONCAT("R",$A35+2,"C"))</f>
        <v>3500</v>
      </c>
      <c r="E35" s="6" t="n">
        <f aca="true">INDIRECT(_xlfn.CONCAT("R[",-$A35,"]C"))+INDIRECT(_xlfn.CONCAT("R",$A35+2,"C"))</f>
        <v>2202.5</v>
      </c>
      <c r="F35" s="0"/>
      <c r="G35" s="6" t="n">
        <f aca="true">(1+INDIRECT(_xlfn.CONCAT("R[",-$A35,"]C")))*INDIRECT(_xlfn.CONCAT("R",$A35+2,"C"))*G$13</f>
        <v>829.56</v>
      </c>
      <c r="H35" s="6" t="n">
        <f aca="true">(1+INDIRECT(_xlfn.CONCAT("R[",-$A35,"]C")))*INDIRECT(_xlfn.CONCAT("R",$A35+2,"C"))*H$13</f>
        <v>6216.483</v>
      </c>
      <c r="I35" s="6" t="n">
        <f aca="true">(1+INDIRECT(_xlfn.CONCAT("R[",-$A35,"]C")))*INDIRECT(_xlfn.CONCAT("R",$A35+2,"C"))*I$13</f>
        <v>3925</v>
      </c>
      <c r="J35" s="6" t="n">
        <f aca="true">(1+INDIRECT(_xlfn.CONCAT("R[",-$A35,"]C")))*INDIRECT(_xlfn.CONCAT("R",$A35+2,"C"))*J$13</f>
        <v>3366.063</v>
      </c>
      <c r="L35" s="6" t="n">
        <f aca="false">G35-B35</f>
        <v>-47.9399999999999</v>
      </c>
      <c r="M35" s="6" t="n">
        <f aca="false">H35-C35</f>
        <v>1213.983</v>
      </c>
      <c r="N35" s="6" t="n">
        <f aca="false">I35-D35</f>
        <v>425</v>
      </c>
      <c r="O35" s="6" t="n">
        <f aca="false">J35-E35</f>
        <v>1163.563</v>
      </c>
      <c r="Q35" s="2" t="n">
        <f aca="true">L35/INDIRECT(_xlfn.CONCAT("R",$A35+18,"C[-5]"))</f>
        <v>-0.296017289286817</v>
      </c>
      <c r="R35" s="2" t="n">
        <f aca="true">M35/INDIRECT(_xlfn.CONCAT("R",$A35+18,"C[-5]"))</f>
        <v>0.903698217143708</v>
      </c>
      <c r="S35" s="2" t="n">
        <f aca="true">N35/INDIRECT(_xlfn.CONCAT("R",$A35+18,"C[-5]"))</f>
        <v>1</v>
      </c>
      <c r="T35" s="2" t="n">
        <f aca="true">O35/INDIRECT(_xlfn.CONCAT("R",$A35+18,"C[-5]"))</f>
        <v>0.755526047517321</v>
      </c>
      <c r="U35" s="0"/>
      <c r="XFD35" s="0"/>
    </row>
    <row r="36" s="6" customFormat="true" ht="12.8" hidden="false" customHeight="false" outlineLevel="0" collapsed="false">
      <c r="A36" s="5" t="n">
        <v>7</v>
      </c>
      <c r="B36" s="6" t="n">
        <f aca="true">INDIRECT(_xlfn.CONCAT("R[",-$A36,"]C"))+INDIRECT(_xlfn.CONCAT("R",$A36+2,"C"))</f>
        <v>812.5</v>
      </c>
      <c r="C36" s="6" t="n">
        <f aca="true">INDIRECT(_xlfn.CONCAT("R[",-$A36,"]C"))+INDIRECT(_xlfn.CONCAT("R",$A36+2,"C"))</f>
        <v>4002.5</v>
      </c>
      <c r="D36" s="6" t="n">
        <f aca="true">INDIRECT(_xlfn.CONCAT("R[",-$A36,"]C"))+INDIRECT(_xlfn.CONCAT("R",$A36+2,"C"))</f>
        <v>3375</v>
      </c>
      <c r="E36" s="6" t="n">
        <f aca="true">INDIRECT(_xlfn.CONCAT("R[",-$A36,"]C"))+INDIRECT(_xlfn.CONCAT("R",$A36+2,"C"))</f>
        <v>2102.5</v>
      </c>
      <c r="F36" s="0"/>
      <c r="G36" s="6" t="n">
        <f aca="true">(1+INDIRECT(_xlfn.CONCAT("R[",-$A36,"]C")))*INDIRECT(_xlfn.CONCAT("R",$A36+2,"C"))*G$13</f>
        <v>772.76</v>
      </c>
      <c r="H36" s="6" t="n">
        <f aca="true">(1+INDIRECT(_xlfn.CONCAT("R[",-$A36,"]C")))*INDIRECT(_xlfn.CONCAT("R",$A36+2,"C"))*H$13</f>
        <v>5145</v>
      </c>
      <c r="I36" s="6" t="n">
        <f aca="true">(1+INDIRECT(_xlfn.CONCAT("R[",-$A36,"]C")))*INDIRECT(_xlfn.CONCAT("R",$A36+2,"C"))*I$13</f>
        <v>3768</v>
      </c>
      <c r="J36" s="6" t="n">
        <f aca="true">(1+INDIRECT(_xlfn.CONCAT("R[",-$A36,"]C")))*INDIRECT(_xlfn.CONCAT("R",$A36+2,"C"))*J$13</f>
        <v>3197.7585</v>
      </c>
      <c r="L36" s="6" t="n">
        <f aca="false">G36-B36</f>
        <v>-39.7399999999999</v>
      </c>
      <c r="M36" s="6" t="n">
        <f aca="false">H36-C36</f>
        <v>1142.5</v>
      </c>
      <c r="N36" s="6" t="n">
        <f aca="false">I36-D36</f>
        <v>393</v>
      </c>
      <c r="O36" s="6" t="n">
        <f aca="false">J36-E36</f>
        <v>1095.2585</v>
      </c>
      <c r="Q36" s="2" t="n">
        <f aca="true">L36/INDIRECT(_xlfn.CONCAT("R",$A36+18,"C[-5]"))</f>
        <v>-0.254825264507854</v>
      </c>
      <c r="R36" s="2" t="n">
        <f aca="true">M36/INDIRECT(_xlfn.CONCAT("R",$A36+18,"C[-5]"))</f>
        <v>0.914</v>
      </c>
      <c r="S36" s="2" t="n">
        <f aca="true">N36/INDIRECT(_xlfn.CONCAT("R",$A36+18,"C[-5]"))</f>
        <v>1</v>
      </c>
      <c r="T36" s="2" t="n">
        <f aca="true">O36/INDIRECT(_xlfn.CONCAT("R",$A36+18,"C[-5]"))</f>
        <v>0.753757402456187</v>
      </c>
      <c r="U36" s="0"/>
      <c r="XFD36" s="0"/>
    </row>
    <row r="37" s="6" customFormat="true" ht="12.8" hidden="false" customHeight="false" outlineLevel="0" collapsed="false">
      <c r="A37" s="5" t="n">
        <v>8</v>
      </c>
      <c r="B37" s="6" t="n">
        <f aca="true">INDIRECT(_xlfn.CONCAT("R[",-$A37,"]C"))+INDIRECT(_xlfn.CONCAT("R",$A37+2,"C"))</f>
        <v>127.5</v>
      </c>
      <c r="C37" s="6" t="n">
        <f aca="true">INDIRECT(_xlfn.CONCAT("R[",-$A37,"]C"))+INDIRECT(_xlfn.CONCAT("R",$A37+2,"C"))</f>
        <v>4002.5</v>
      </c>
      <c r="D37" s="6" t="n">
        <f aca="true">INDIRECT(_xlfn.CONCAT("R[",-$A37,"]C"))+INDIRECT(_xlfn.CONCAT("R",$A37+2,"C"))</f>
        <v>3250</v>
      </c>
      <c r="E37" s="6" t="n">
        <f aca="true">INDIRECT(_xlfn.CONCAT("R[",-$A37,"]C"))+INDIRECT(_xlfn.CONCAT("R",$A37+2,"C"))</f>
        <v>2002.5</v>
      </c>
      <c r="F37" s="0"/>
      <c r="G37" s="6" t="n">
        <f aca="true">(1+INDIRECT(_xlfn.CONCAT("R[",-$A37,"]C")))*INDIRECT(_xlfn.CONCAT("R",$A37+2,"C"))*G$13</f>
        <v>199.8</v>
      </c>
      <c r="H37" s="6" t="n">
        <f aca="true">(1+INDIRECT(_xlfn.CONCAT("R[",-$A37,"]C")))*INDIRECT(_xlfn.CONCAT("R",$A37+2,"C"))*H$13</f>
        <v>4858.35</v>
      </c>
      <c r="I37" s="6" t="n">
        <f aca="true">(1+INDIRECT(_xlfn.CONCAT("R[",-$A37,"]C")))*INDIRECT(_xlfn.CONCAT("R",$A37+2,"C"))*I$13</f>
        <v>3611</v>
      </c>
      <c r="J37" s="6" t="n">
        <f aca="true">(1+INDIRECT(_xlfn.CONCAT("R[",-$A37,"]C")))*INDIRECT(_xlfn.CONCAT("R",$A37+2,"C"))*J$13</f>
        <v>3037.8735</v>
      </c>
      <c r="L37" s="6" t="n">
        <f aca="false">G37-B37</f>
        <v>72.3</v>
      </c>
      <c r="M37" s="6" t="n">
        <f aca="false">H37-C37</f>
        <v>855.85</v>
      </c>
      <c r="N37" s="6" t="n">
        <f aca="false">I37-D37</f>
        <v>361</v>
      </c>
      <c r="O37" s="6" t="n">
        <f aca="false">J37-E37</f>
        <v>1035.3735</v>
      </c>
      <c r="Q37" s="2" t="n">
        <f aca="true">L37/INDIRECT(_xlfn.CONCAT("R",$A37+18,"C[-5]"))</f>
        <v>0.579559118236473</v>
      </c>
      <c r="R37" s="2" t="n">
        <f aca="true">M37/INDIRECT(_xlfn.CONCAT("R",$A37+18,"C[-5]"))</f>
        <v>0.893838120104438</v>
      </c>
      <c r="S37" s="2" t="n">
        <f aca="true">N37/INDIRECT(_xlfn.CONCAT("R",$A37+18,"C[-5]"))</f>
        <v>1</v>
      </c>
      <c r="T37" s="2" t="n">
        <f aca="true">O37/INDIRECT(_xlfn.CONCAT("R",$A37+18,"C[-5]"))</f>
        <v>0.752771708902404</v>
      </c>
      <c r="U37" s="0"/>
      <c r="XFD37" s="0"/>
    </row>
    <row r="38" s="6" customFormat="true" ht="12.8" hidden="false" customHeight="false" outlineLevel="0" collapsed="false">
      <c r="A38" s="5"/>
      <c r="F38" s="0"/>
      <c r="Q38" s="2"/>
      <c r="R38" s="2"/>
      <c r="S38" s="2"/>
      <c r="T38" s="2"/>
      <c r="U38" s="0"/>
      <c r="XFD38" s="0"/>
    </row>
    <row r="39" customFormat="false" ht="12.8" hidden="false" customHeight="false" outlineLevel="0" collapsed="false">
      <c r="A39" s="1" t="s">
        <v>14</v>
      </c>
    </row>
    <row r="40" s="1" customFormat="true" ht="12.8" hidden="false" customHeight="false" outlineLevel="0" collapsed="false">
      <c r="A40" s="0"/>
      <c r="B40" s="1" t="n">
        <v>25</v>
      </c>
      <c r="C40" s="1" t="n">
        <v>25</v>
      </c>
      <c r="D40" s="1" t="n">
        <v>0</v>
      </c>
      <c r="E40" s="1" t="n">
        <v>25</v>
      </c>
      <c r="F40" s="0"/>
      <c r="G40" s="1" t="n">
        <v>-0.2</v>
      </c>
      <c r="H40" s="1" t="n">
        <v>-0.02</v>
      </c>
      <c r="I40" s="1" t="n">
        <v>0</v>
      </c>
      <c r="J40" s="1" t="n">
        <v>-0.01</v>
      </c>
      <c r="Q40" s="4"/>
      <c r="R40" s="4"/>
      <c r="S40" s="4"/>
      <c r="T40" s="4"/>
      <c r="U40" s="0"/>
      <c r="XFD40" s="0"/>
    </row>
    <row r="41" s="6" customFormat="true" ht="12.8" hidden="false" customHeight="false" outlineLevel="0" collapsed="false">
      <c r="A41" s="5" t="n">
        <v>1</v>
      </c>
      <c r="B41" s="6" t="n">
        <f aca="true">INDIRECT(_xlfn.CONCAT("R[",-$A41,"]C"))+INDIRECT(_xlfn.CONCAT("R",$A41+2,"C"))</f>
        <v>3525</v>
      </c>
      <c r="C41" s="6" t="n">
        <f aca="true">INDIRECT(_xlfn.CONCAT("R[",-$A41,"]C"))+INDIRECT(_xlfn.CONCAT("R",$A41+2,"C"))</f>
        <v>9525</v>
      </c>
      <c r="D41" s="6" t="n">
        <f aca="true">INDIRECT(_xlfn.CONCAT("R[",-$A41,"]C"))+INDIRECT(_xlfn.CONCAT("R",$A41+2,"C"))</f>
        <v>4000</v>
      </c>
      <c r="E41" s="6" t="n">
        <f aca="true">INDIRECT(_xlfn.CONCAT("R[",-$A41,"]C"))+INDIRECT(_xlfn.CONCAT("R",$A41+2,"C"))</f>
        <v>3025</v>
      </c>
      <c r="F41" s="0"/>
      <c r="G41" s="6" t="n">
        <f aca="true">(1+INDIRECT(_xlfn.CONCAT("R[",-$A41,"]C")))*INDIRECT(_xlfn.CONCAT("R",$A41+2,"C"))*G$13</f>
        <v>3074.04</v>
      </c>
      <c r="H41" s="6" t="n">
        <f aca="true">(1+INDIRECT(_xlfn.CONCAT("R[",-$A41,"]C")))*INDIRECT(_xlfn.CONCAT("R",$A41+2,"C"))*H$13</f>
        <v>11047.05</v>
      </c>
      <c r="I41" s="6" t="n">
        <f aca="true">(1+INDIRECT(_xlfn.CONCAT("R[",-$A41,"]C")))*INDIRECT(_xlfn.CONCAT("R",$A41+2,"C"))*I$13</f>
        <v>4710</v>
      </c>
      <c r="J41" s="6" t="n">
        <f aca="true">(1+INDIRECT(_xlfn.CONCAT("R[",-$A41,"]C")))*INDIRECT(_xlfn.CONCAT("R",$A41+2,"C"))*J$13</f>
        <v>4785.165</v>
      </c>
      <c r="L41" s="6" t="n">
        <f aca="false">G41-B41</f>
        <v>-450.96</v>
      </c>
      <c r="M41" s="6" t="n">
        <f aca="false">H41-C41</f>
        <v>1522.05</v>
      </c>
      <c r="N41" s="6" t="n">
        <f aca="false">I41-D41</f>
        <v>710</v>
      </c>
      <c r="O41" s="6" t="n">
        <f aca="false">J41-E41</f>
        <v>1760.165</v>
      </c>
      <c r="Q41" s="2" t="n">
        <f aca="true">L41/INDIRECT(_xlfn.CONCAT("R",$A41+18,"C[-5]"))</f>
        <v>-1.31647934608086</v>
      </c>
      <c r="R41" s="2" t="n">
        <f aca="true">M41/INDIRECT(_xlfn.CONCAT("R",$A41+18,"C[-5]"))</f>
        <v>0.858702397743301</v>
      </c>
      <c r="S41" s="2" t="n">
        <f aca="true">N41/INDIRECT(_xlfn.CONCAT("R",$A41+18,"C[-5]"))</f>
        <v>1</v>
      </c>
      <c r="T41" s="2" t="n">
        <f aca="true">O41/INDIRECT(_xlfn.CONCAT("R",$A41+18,"C[-5]"))</f>
        <v>0.960002727024816</v>
      </c>
      <c r="U41" s="0"/>
      <c r="XFD41" s="0"/>
    </row>
    <row r="42" s="6" customFormat="true" ht="12.8" hidden="false" customHeight="false" outlineLevel="0" collapsed="false">
      <c r="A42" s="5" t="n">
        <v>2</v>
      </c>
      <c r="B42" s="6" t="n">
        <f aca="true">INDIRECT(_xlfn.CONCAT("R[",-$A42,"]C"))+INDIRECT(_xlfn.CONCAT("R",$A42+2,"C"))</f>
        <v>2675</v>
      </c>
      <c r="C42" s="6" t="n">
        <f aca="true">INDIRECT(_xlfn.CONCAT("R[",-$A42,"]C"))+INDIRECT(_xlfn.CONCAT("R",$A42+2,"C"))</f>
        <v>8075</v>
      </c>
      <c r="D42" s="6" t="n">
        <f aca="true">INDIRECT(_xlfn.CONCAT("R[",-$A42,"]C"))+INDIRECT(_xlfn.CONCAT("R",$A42+2,"C"))</f>
        <v>4000</v>
      </c>
      <c r="E42" s="6" t="n">
        <f aca="true">INDIRECT(_xlfn.CONCAT("R[",-$A42,"]C"))+INDIRECT(_xlfn.CONCAT("R",$A42+2,"C"))</f>
        <v>2875</v>
      </c>
      <c r="F42" s="0"/>
      <c r="G42" s="6" t="n">
        <f aca="true">(1+INDIRECT(_xlfn.CONCAT("R[",-$A42,"]C")))*INDIRECT(_xlfn.CONCAT("R",$A42+2,"C"))*G$13</f>
        <v>2325</v>
      </c>
      <c r="H42" s="6" t="n">
        <f aca="true">(1+INDIRECT(_xlfn.CONCAT("R[",-$A42,"]C")))*INDIRECT(_xlfn.CONCAT("R",$A42+2,"C"))*H$13</f>
        <v>9430.05</v>
      </c>
      <c r="I42" s="6" t="n">
        <f aca="true">(1+INDIRECT(_xlfn.CONCAT("R[",-$A42,"]C")))*INDIRECT(_xlfn.CONCAT("R",$A42+2,"C"))*I$13</f>
        <v>4553</v>
      </c>
      <c r="J42" s="6" t="n">
        <f aca="true">(1+INDIRECT(_xlfn.CONCAT("R[",-$A42,"]C")))*INDIRECT(_xlfn.CONCAT("R",$A42+2,"C"))*J$13</f>
        <v>4545.90675</v>
      </c>
      <c r="L42" s="6" t="n">
        <f aca="false">G42-B42</f>
        <v>-350</v>
      </c>
      <c r="M42" s="6" t="n">
        <f aca="false">H42-C42</f>
        <v>1355.05</v>
      </c>
      <c r="N42" s="6" t="n">
        <f aca="false">I42-D42</f>
        <v>553</v>
      </c>
      <c r="O42" s="6" t="n">
        <f aca="false">J42-E42</f>
        <v>1670.90675</v>
      </c>
      <c r="Q42" s="2" t="n">
        <f aca="true">L42/INDIRECT(_xlfn.CONCAT("R",$A42+18,"C[-5]"))</f>
        <v>-1.36585365853659</v>
      </c>
      <c r="R42" s="2" t="n">
        <f aca="true">M42/INDIRECT(_xlfn.CONCAT("R",$A42+18,"C[-5]"))</f>
        <v>0.861717011128775</v>
      </c>
      <c r="S42" s="2" t="n">
        <f aca="true">N42/INDIRECT(_xlfn.CONCAT("R",$A42+18,"C[-5]"))</f>
        <v>1</v>
      </c>
      <c r="T42" s="2" t="n">
        <f aca="true">O42/INDIRECT(_xlfn.CONCAT("R",$A42+18,"C[-5]"))</f>
        <v>0.959285088915362</v>
      </c>
      <c r="U42" s="0"/>
      <c r="XFD42" s="0"/>
    </row>
    <row r="43" s="6" customFormat="true" ht="12.8" hidden="false" customHeight="false" outlineLevel="0" collapsed="false">
      <c r="A43" s="5" t="n">
        <v>3</v>
      </c>
      <c r="B43" s="6" t="n">
        <f aca="true">INDIRECT(_xlfn.CONCAT("R[",-$A43,"]C"))+INDIRECT(_xlfn.CONCAT("R",$A43+2,"C"))</f>
        <v>1650</v>
      </c>
      <c r="C43" s="6" t="n">
        <f aca="true">INDIRECT(_xlfn.CONCAT("R[",-$A43,"]C"))+INDIRECT(_xlfn.CONCAT("R",$A43+2,"C"))</f>
        <v>7375</v>
      </c>
      <c r="D43" s="6" t="n">
        <f aca="true">INDIRECT(_xlfn.CONCAT("R[",-$A43,"]C"))+INDIRECT(_xlfn.CONCAT("R",$A43+2,"C"))</f>
        <v>3850</v>
      </c>
      <c r="E43" s="6" t="n">
        <f aca="true">INDIRECT(_xlfn.CONCAT("R[",-$A43,"]C"))+INDIRECT(_xlfn.CONCAT("R",$A43+2,"C"))</f>
        <v>2700</v>
      </c>
      <c r="F43" s="0"/>
      <c r="G43" s="6" t="n">
        <f aca="true">(1+INDIRECT(_xlfn.CONCAT("R[",-$A43,"]C")))*INDIRECT(_xlfn.CONCAT("R",$A43+2,"C"))*G$13</f>
        <v>1489.48</v>
      </c>
      <c r="H43" s="6" t="n">
        <f aca="true">(1+INDIRECT(_xlfn.CONCAT("R[",-$A43,"]C")))*INDIRECT(_xlfn.CONCAT("R",$A43+2,"C"))*H$13</f>
        <v>8631.105</v>
      </c>
      <c r="I43" s="6" t="n">
        <f aca="true">(1+INDIRECT(_xlfn.CONCAT("R[",-$A43,"]C")))*INDIRECT(_xlfn.CONCAT("R",$A43+2,"C"))*I$13</f>
        <v>4396</v>
      </c>
      <c r="J43" s="6" t="n">
        <f aca="true">(1+INDIRECT(_xlfn.CONCAT("R[",-$A43,"]C")))*INDIRECT(_xlfn.CONCAT("R",$A43+2,"C"))*J$13</f>
        <v>4318.61265</v>
      </c>
      <c r="L43" s="6" t="n">
        <f aca="false">G43-B43</f>
        <v>-160.52</v>
      </c>
      <c r="M43" s="6" t="n">
        <f aca="false">H43-C43</f>
        <v>1256.105</v>
      </c>
      <c r="N43" s="6" t="n">
        <f aca="false">I43-D43</f>
        <v>546</v>
      </c>
      <c r="O43" s="6" t="n">
        <f aca="false">J43-E43</f>
        <v>1618.61265</v>
      </c>
      <c r="Q43" s="2" t="n">
        <f aca="true">L43/INDIRECT(_xlfn.CONCAT("R",$A43+18,"C[-5]"))</f>
        <v>-0.677728520160439</v>
      </c>
      <c r="R43" s="2" t="n">
        <f aca="true">M43/INDIRECT(_xlfn.CONCAT("R",$A43+18,"C[-5]"))</f>
        <v>0.861969463029679</v>
      </c>
      <c r="S43" s="2" t="n">
        <f aca="true">N43/INDIRECT(_xlfn.CONCAT("R",$A43+18,"C[-5]"))</f>
        <v>1</v>
      </c>
      <c r="T43" s="2" t="n">
        <f aca="true">O43/INDIRECT(_xlfn.CONCAT("R",$A43+18,"C[-5]"))</f>
        <v>0.959328516774486</v>
      </c>
      <c r="U43" s="0"/>
      <c r="XFD43" s="0"/>
    </row>
    <row r="44" s="6" customFormat="true" ht="12.8" hidden="false" customHeight="false" outlineLevel="0" collapsed="false">
      <c r="A44" s="5" t="n">
        <v>4</v>
      </c>
      <c r="B44" s="6" t="n">
        <f aca="true">INDIRECT(_xlfn.CONCAT("R[",-$A44,"]C"))+INDIRECT(_xlfn.CONCAT("R",$A44+2,"C"))</f>
        <v>1475</v>
      </c>
      <c r="C44" s="6" t="n">
        <f aca="true">INDIRECT(_xlfn.CONCAT("R[",-$A44,"]C"))+INDIRECT(_xlfn.CONCAT("R",$A44+2,"C"))</f>
        <v>5525</v>
      </c>
      <c r="D44" s="6" t="n">
        <f aca="true">INDIRECT(_xlfn.CONCAT("R[",-$A44,"]C"))+INDIRECT(_xlfn.CONCAT("R",$A44+2,"C"))</f>
        <v>3700</v>
      </c>
      <c r="E44" s="6" t="n">
        <f aca="true">INDIRECT(_xlfn.CONCAT("R[",-$A44,"]C"))+INDIRECT(_xlfn.CONCAT("R",$A44+2,"C"))</f>
        <v>2525</v>
      </c>
      <c r="F44" s="0"/>
      <c r="G44" s="6" t="n">
        <f aca="true">(1+INDIRECT(_xlfn.CONCAT("R[",-$A44,"]C")))*INDIRECT(_xlfn.CONCAT("R",$A44+2,"C"))*G$13</f>
        <v>1328.72</v>
      </c>
      <c r="H44" s="6" t="n">
        <f aca="true">(1+INDIRECT(_xlfn.CONCAT("R[",-$A44,"]C")))*INDIRECT(_xlfn.CONCAT("R",$A44+2,"C"))*H$13</f>
        <v>6786.9165</v>
      </c>
      <c r="I44" s="6" t="n">
        <f aca="true">(1+INDIRECT(_xlfn.CONCAT("R[",-$A44,"]C")))*INDIRECT(_xlfn.CONCAT("R",$A44+2,"C"))*I$13</f>
        <v>4239</v>
      </c>
      <c r="J44" s="6" t="n">
        <f aca="true">(1+INDIRECT(_xlfn.CONCAT("R[",-$A44,"]C")))*INDIRECT(_xlfn.CONCAT("R",$A44+2,"C"))*J$13</f>
        <v>4102.6788</v>
      </c>
      <c r="L44" s="6" t="n">
        <f aca="false">G44-B44</f>
        <v>-146.28</v>
      </c>
      <c r="M44" s="6" t="n">
        <f aca="false">H44-C44</f>
        <v>1261.9165</v>
      </c>
      <c r="N44" s="6" t="n">
        <f aca="false">I44-D44</f>
        <v>539</v>
      </c>
      <c r="O44" s="6" t="n">
        <f aca="false">J44-E44</f>
        <v>1577.6788</v>
      </c>
      <c r="Q44" s="2" t="n">
        <f aca="true">L44/INDIRECT(_xlfn.CONCAT("R",$A44+18,"C[-5]"))</f>
        <v>-0.693598862019913</v>
      </c>
      <c r="R44" s="2" t="n">
        <f aca="true">M44/INDIRECT(_xlfn.CONCAT("R",$A44+18,"C[-5]"))</f>
        <v>0.88529140431801</v>
      </c>
      <c r="S44" s="2" t="n">
        <f aca="true">N44/INDIRECT(_xlfn.CONCAT("R",$A44+18,"C[-5]"))</f>
        <v>1</v>
      </c>
      <c r="T44" s="2" t="n">
        <f aca="true">O44/INDIRECT(_xlfn.CONCAT("R",$A44+18,"C[-5]"))</f>
        <v>0.959588594506484</v>
      </c>
      <c r="U44" s="0"/>
      <c r="XFD44" s="0"/>
    </row>
    <row r="45" s="6" customFormat="true" ht="12.8" hidden="false" customHeight="false" outlineLevel="0" collapsed="false">
      <c r="A45" s="5" t="n">
        <v>5</v>
      </c>
      <c r="B45" s="6" t="n">
        <f aca="true">INDIRECT(_xlfn.CONCAT("R[",-$A45,"]C"))+INDIRECT(_xlfn.CONCAT("R",$A45+2,"C"))</f>
        <v>1135</v>
      </c>
      <c r="C45" s="6" t="n">
        <f aca="true">INDIRECT(_xlfn.CONCAT("R[",-$A45,"]C"))+INDIRECT(_xlfn.CONCAT("R",$A45+2,"C"))</f>
        <v>5225</v>
      </c>
      <c r="D45" s="6" t="n">
        <f aca="true">INDIRECT(_xlfn.CONCAT("R[",-$A45,"]C"))+INDIRECT(_xlfn.CONCAT("R",$A45+2,"C"))</f>
        <v>3550</v>
      </c>
      <c r="E45" s="6" t="n">
        <f aca="true">INDIRECT(_xlfn.CONCAT("R[",-$A45,"]C"))+INDIRECT(_xlfn.CONCAT("R",$A45+2,"C"))</f>
        <v>2425</v>
      </c>
      <c r="F45" s="0"/>
      <c r="G45" s="6" t="n">
        <f aca="true">(1+INDIRECT(_xlfn.CONCAT("R[",-$A45,"]C")))*INDIRECT(_xlfn.CONCAT("R",$A45+2,"C"))*G$13</f>
        <v>1037.92</v>
      </c>
      <c r="H45" s="6" t="n">
        <f aca="true">(1+INDIRECT(_xlfn.CONCAT("R[",-$A45,"]C")))*INDIRECT(_xlfn.CONCAT("R",$A45+2,"C"))*H$13</f>
        <v>6451.3155</v>
      </c>
      <c r="I45" s="6" t="n">
        <f aca="true">(1+INDIRECT(_xlfn.CONCAT("R[",-$A45,"]C")))*INDIRECT(_xlfn.CONCAT("R",$A45+2,"C"))*I$13</f>
        <v>4082</v>
      </c>
      <c r="J45" s="6" t="n">
        <f aca="true">(1+INDIRECT(_xlfn.CONCAT("R[",-$A45,"]C")))*INDIRECT(_xlfn.CONCAT("R",$A45+2,"C"))*J$13</f>
        <v>3897.54585</v>
      </c>
      <c r="L45" s="6" t="n">
        <f aca="false">G45-B45</f>
        <v>-97.0799999999999</v>
      </c>
      <c r="M45" s="6" t="n">
        <f aca="false">H45-C45</f>
        <v>1226.3155</v>
      </c>
      <c r="N45" s="6" t="n">
        <f aca="false">I45-D45</f>
        <v>532</v>
      </c>
      <c r="O45" s="6" t="n">
        <f aca="false">J45-E45</f>
        <v>1472.54585</v>
      </c>
      <c r="Q45" s="2" t="n">
        <f aca="true">L45/INDIRECT(_xlfn.CONCAT("R",$A45+18,"C[-5]"))</f>
        <v>-0.51803628601921</v>
      </c>
      <c r="R45" s="2" t="n">
        <f aca="true">M45/INDIRECT(_xlfn.CONCAT("R",$A45+18,"C[-5]"))</f>
        <v>0.886722825792223</v>
      </c>
      <c r="S45" s="2" t="n">
        <f aca="true">N45/INDIRECT(_xlfn.CONCAT("R",$A45+18,"C[-5]"))</f>
        <v>1</v>
      </c>
      <c r="T45" s="2" t="n">
        <f aca="true">O45/INDIRECT(_xlfn.CONCAT("R",$A45+18,"C[-5]"))</f>
        <v>0.95811795056981</v>
      </c>
      <c r="U45" s="0"/>
      <c r="XFD45" s="0"/>
    </row>
    <row r="46" s="6" customFormat="true" ht="12.8" hidden="false" customHeight="false" outlineLevel="0" collapsed="false">
      <c r="A46" s="5" t="n">
        <v>6</v>
      </c>
      <c r="B46" s="6" t="n">
        <f aca="true">INDIRECT(_xlfn.CONCAT("R[",-$A46,"]C"))+INDIRECT(_xlfn.CONCAT("R",$A46+2,"C"))</f>
        <v>900</v>
      </c>
      <c r="C46" s="6" t="n">
        <f aca="true">INDIRECT(_xlfn.CONCAT("R[",-$A46,"]C"))+INDIRECT(_xlfn.CONCAT("R",$A46+2,"C"))</f>
        <v>5025</v>
      </c>
      <c r="D46" s="6" t="n">
        <f aca="true">INDIRECT(_xlfn.CONCAT("R[",-$A46,"]C"))+INDIRECT(_xlfn.CONCAT("R",$A46+2,"C"))</f>
        <v>3500</v>
      </c>
      <c r="E46" s="6" t="n">
        <f aca="true">INDIRECT(_xlfn.CONCAT("R[",-$A46,"]C"))+INDIRECT(_xlfn.CONCAT("R",$A46+2,"C"))</f>
        <v>2225</v>
      </c>
      <c r="F46" s="0"/>
      <c r="G46" s="6" t="n">
        <f aca="true">(1+INDIRECT(_xlfn.CONCAT("R[",-$A46,"]C")))*INDIRECT(_xlfn.CONCAT("R",$A46+2,"C"))*G$13</f>
        <v>829.56</v>
      </c>
      <c r="H46" s="6" t="n">
        <f aca="true">(1+INDIRECT(_xlfn.CONCAT("R[",-$A46,"]C")))*INDIRECT(_xlfn.CONCAT("R",$A46+2,"C"))*H$13</f>
        <v>6216.483</v>
      </c>
      <c r="I46" s="6" t="n">
        <f aca="true">(1+INDIRECT(_xlfn.CONCAT("R[",-$A46,"]C")))*INDIRECT(_xlfn.CONCAT("R",$A46+2,"C"))*I$13</f>
        <v>3925</v>
      </c>
      <c r="J46" s="6" t="n">
        <f aca="true">(1+INDIRECT(_xlfn.CONCAT("R[",-$A46,"]C")))*INDIRECT(_xlfn.CONCAT("R",$A46+2,"C"))*J$13</f>
        <v>3702.6693</v>
      </c>
      <c r="L46" s="6" t="n">
        <f aca="false">G46-B46</f>
        <v>-70.4399999999999</v>
      </c>
      <c r="M46" s="6" t="n">
        <f aca="false">H46-C46</f>
        <v>1191.483</v>
      </c>
      <c r="N46" s="6" t="n">
        <f aca="false">I46-D46</f>
        <v>425</v>
      </c>
      <c r="O46" s="6" t="n">
        <f aca="false">J46-E46</f>
        <v>1477.6693</v>
      </c>
      <c r="Q46" s="2" t="n">
        <f aca="true">L46/INDIRECT(_xlfn.CONCAT("R",$A46+18,"C[-5]"))</f>
        <v>-0.434949058351343</v>
      </c>
      <c r="R46" s="2" t="n">
        <f aca="true">M46/INDIRECT(_xlfn.CONCAT("R",$A46+18,"C[-5]"))</f>
        <v>0.886949045297205</v>
      </c>
      <c r="S46" s="2" t="n">
        <f aca="true">N46/INDIRECT(_xlfn.CONCAT("R",$A46+18,"C[-5]"))</f>
        <v>1</v>
      </c>
      <c r="T46" s="2" t="n">
        <f aca="true">O46/INDIRECT(_xlfn.CONCAT("R",$A46+18,"C[-5]"))</f>
        <v>0.95948190666658</v>
      </c>
      <c r="U46" s="0"/>
      <c r="XFD46" s="0"/>
    </row>
    <row r="47" s="6" customFormat="true" ht="12.8" hidden="false" customHeight="false" outlineLevel="0" collapsed="false">
      <c r="A47" s="5" t="n">
        <v>7</v>
      </c>
      <c r="B47" s="6" t="n">
        <f aca="true">INDIRECT(_xlfn.CONCAT("R[",-$A47,"]C"))+INDIRECT(_xlfn.CONCAT("R",$A47+2,"C"))</f>
        <v>835</v>
      </c>
      <c r="C47" s="6" t="n">
        <f aca="true">INDIRECT(_xlfn.CONCAT("R[",-$A47,"]C"))+INDIRECT(_xlfn.CONCAT("R",$A47+2,"C"))</f>
        <v>4025</v>
      </c>
      <c r="D47" s="6" t="n">
        <f aca="true">INDIRECT(_xlfn.CONCAT("R[",-$A47,"]C"))+INDIRECT(_xlfn.CONCAT("R",$A47+2,"C"))</f>
        <v>3375</v>
      </c>
      <c r="E47" s="6" t="n">
        <f aca="true">INDIRECT(_xlfn.CONCAT("R[",-$A47,"]C"))+INDIRECT(_xlfn.CONCAT("R",$A47+2,"C"))</f>
        <v>2125</v>
      </c>
      <c r="F47" s="0"/>
      <c r="G47" s="6" t="n">
        <f aca="true">(1+INDIRECT(_xlfn.CONCAT("R[",-$A47,"]C")))*INDIRECT(_xlfn.CONCAT("R",$A47+2,"C"))*G$13</f>
        <v>772.76</v>
      </c>
      <c r="H47" s="6" t="n">
        <f aca="true">(1+INDIRECT(_xlfn.CONCAT("R[",-$A47,"]C")))*INDIRECT(_xlfn.CONCAT("R",$A47+2,"C"))*H$13</f>
        <v>5145</v>
      </c>
      <c r="I47" s="6" t="n">
        <f aca="true">(1+INDIRECT(_xlfn.CONCAT("R[",-$A47,"]C")))*INDIRECT(_xlfn.CONCAT("R",$A47+2,"C"))*I$13</f>
        <v>3768</v>
      </c>
      <c r="J47" s="6" t="n">
        <f aca="true">(1+INDIRECT(_xlfn.CONCAT("R[",-$A47,"]C")))*INDIRECT(_xlfn.CONCAT("R",$A47+2,"C"))*J$13</f>
        <v>3517.53435</v>
      </c>
      <c r="L47" s="6" t="n">
        <f aca="false">G47-B47</f>
        <v>-62.2399999999999</v>
      </c>
      <c r="M47" s="6" t="n">
        <f aca="false">H47-C47</f>
        <v>1120</v>
      </c>
      <c r="N47" s="6" t="n">
        <f aca="false">I47-D47</f>
        <v>393</v>
      </c>
      <c r="O47" s="6" t="n">
        <f aca="false">J47-E47</f>
        <v>1392.53435</v>
      </c>
      <c r="Q47" s="2" t="n">
        <f aca="true">L47/INDIRECT(_xlfn.CONCAT("R",$A47+18,"C[-5]"))</f>
        <v>-0.399102276370631</v>
      </c>
      <c r="R47" s="2" t="n">
        <f aca="true">M47/INDIRECT(_xlfn.CONCAT("R",$A47+18,"C[-5]"))</f>
        <v>0.896</v>
      </c>
      <c r="S47" s="2" t="n">
        <f aca="true">N47/INDIRECT(_xlfn.CONCAT("R",$A47+18,"C[-5]"))</f>
        <v>1</v>
      </c>
      <c r="T47" s="2" t="n">
        <f aca="true">O47/INDIRECT(_xlfn.CONCAT("R",$A47+18,"C[-5]"))</f>
        <v>0.958342778884633</v>
      </c>
      <c r="U47" s="0"/>
      <c r="XFD47" s="0"/>
    </row>
    <row r="48" s="6" customFormat="true" ht="12.8" hidden="false" customHeight="false" outlineLevel="0" collapsed="false">
      <c r="A48" s="5" t="n">
        <v>8</v>
      </c>
      <c r="B48" s="6" t="n">
        <f aca="true">INDIRECT(_xlfn.CONCAT("R[",-$A48,"]C"))+INDIRECT(_xlfn.CONCAT("R",$A48+2,"C"))</f>
        <v>150</v>
      </c>
      <c r="C48" s="6" t="n">
        <f aca="true">INDIRECT(_xlfn.CONCAT("R[",-$A48,"]C"))+INDIRECT(_xlfn.CONCAT("R",$A48+2,"C"))</f>
        <v>4025</v>
      </c>
      <c r="D48" s="6" t="n">
        <f aca="true">INDIRECT(_xlfn.CONCAT("R[",-$A48,"]C"))+INDIRECT(_xlfn.CONCAT("R",$A48+2,"C"))</f>
        <v>3250</v>
      </c>
      <c r="E48" s="6" t="n">
        <f aca="true">INDIRECT(_xlfn.CONCAT("R[",-$A48,"]C"))+INDIRECT(_xlfn.CONCAT("R",$A48+2,"C"))</f>
        <v>2025</v>
      </c>
      <c r="F48" s="0"/>
      <c r="G48" s="6" t="n">
        <f aca="true">(1+INDIRECT(_xlfn.CONCAT("R[",-$A48,"]C")))*INDIRECT(_xlfn.CONCAT("R",$A48+2,"C"))*G$13</f>
        <v>199.8</v>
      </c>
      <c r="H48" s="6" t="n">
        <f aca="true">(1+INDIRECT(_xlfn.CONCAT("R[",-$A48,"]C")))*INDIRECT(_xlfn.CONCAT("R",$A48+2,"C"))*H$13</f>
        <v>4858.35</v>
      </c>
      <c r="I48" s="6" t="n">
        <f aca="true">(1+INDIRECT(_xlfn.CONCAT("R[",-$A48,"]C")))*INDIRECT(_xlfn.CONCAT("R",$A48+2,"C"))*I$13</f>
        <v>3611</v>
      </c>
      <c r="J48" s="6" t="n">
        <f aca="true">(1+INDIRECT(_xlfn.CONCAT("R[",-$A48,"]C")))*INDIRECT(_xlfn.CONCAT("R",$A48+2,"C"))*J$13</f>
        <v>3341.66085</v>
      </c>
      <c r="L48" s="6" t="n">
        <f aca="false">G48-B48</f>
        <v>49.8</v>
      </c>
      <c r="M48" s="6" t="n">
        <f aca="false">H48-C48</f>
        <v>833.35</v>
      </c>
      <c r="N48" s="6" t="n">
        <f aca="false">I48-D48</f>
        <v>361</v>
      </c>
      <c r="O48" s="6" t="n">
        <f aca="false">J48-E48</f>
        <v>1316.66085</v>
      </c>
      <c r="Q48" s="2" t="n">
        <f aca="true">L48/INDIRECT(_xlfn.CONCAT("R",$A48+18,"C[-5]"))</f>
        <v>0.399198396793588</v>
      </c>
      <c r="R48" s="2" t="n">
        <f aca="true">M48/INDIRECT(_xlfn.CONCAT("R",$A48+18,"C[-5]"))</f>
        <v>0.870339425587467</v>
      </c>
      <c r="S48" s="2" t="n">
        <f aca="true">N48/INDIRECT(_xlfn.CONCAT("R",$A48+18,"C[-5]"))</f>
        <v>1</v>
      </c>
      <c r="T48" s="2" t="n">
        <f aca="true">O48/INDIRECT(_xlfn.CONCAT("R",$A48+18,"C[-5]"))</f>
        <v>0.957282601978312</v>
      </c>
      <c r="U48" s="0"/>
      <c r="XFD48" s="0"/>
    </row>
    <row r="49" s="6" customFormat="true" ht="12.8" hidden="false" customHeight="false" outlineLevel="0" collapsed="false">
      <c r="A49" s="5"/>
      <c r="F49" s="0"/>
      <c r="Q49" s="2"/>
      <c r="R49" s="2"/>
      <c r="S49" s="2"/>
      <c r="T49" s="2"/>
      <c r="U49" s="0"/>
      <c r="XFD49" s="0"/>
    </row>
    <row r="50" customFormat="false" ht="12.8" hidden="false" customHeight="false" outlineLevel="0" collapsed="false">
      <c r="A50" s="1" t="s">
        <v>15</v>
      </c>
    </row>
    <row r="51" s="1" customFormat="true" ht="12.8" hidden="false" customHeight="false" outlineLevel="0" collapsed="false">
      <c r="A51" s="0"/>
      <c r="B51" s="1" t="n">
        <v>0</v>
      </c>
      <c r="C51" s="1" t="n">
        <v>5</v>
      </c>
      <c r="D51" s="1" t="n">
        <v>0</v>
      </c>
      <c r="E51" s="1" t="n">
        <v>0</v>
      </c>
      <c r="F51" s="0"/>
      <c r="G51" s="1" t="n">
        <v>0</v>
      </c>
      <c r="H51" s="1" t="n">
        <v>0</v>
      </c>
      <c r="I51" s="1" t="n">
        <v>0</v>
      </c>
      <c r="J51" s="1" t="n">
        <v>0</v>
      </c>
      <c r="Q51" s="4"/>
      <c r="R51" s="4"/>
      <c r="S51" s="4"/>
      <c r="T51" s="4"/>
      <c r="U51" s="0"/>
      <c r="XFD51" s="0"/>
    </row>
    <row r="52" s="6" customFormat="true" ht="12.8" hidden="false" customHeight="false" outlineLevel="0" collapsed="false">
      <c r="A52" s="5" t="n">
        <v>1</v>
      </c>
      <c r="B52" s="6" t="n">
        <f aca="true">INDIRECT(_xlfn.CONCAT("R[",-$A52,"]C"))+INDIRECT(_xlfn.CONCAT("R",$A52+2,"C"))</f>
        <v>3500</v>
      </c>
      <c r="C52" s="6" t="n">
        <f aca="true">INDIRECT(_xlfn.CONCAT("R[",-$A52,"]C"))+INDIRECT(_xlfn.CONCAT("R",$A52+2,"C"))</f>
        <v>9505</v>
      </c>
      <c r="D52" s="6" t="n">
        <f aca="true">INDIRECT(_xlfn.CONCAT("R[",-$A52,"]C"))+INDIRECT(_xlfn.CONCAT("R",$A52+2,"C"))</f>
        <v>4000</v>
      </c>
      <c r="E52" s="6" t="n">
        <f aca="true">INDIRECT(_xlfn.CONCAT("R[",-$A52,"]C"))+INDIRECT(_xlfn.CONCAT("R",$A52+2,"C"))</f>
        <v>3000</v>
      </c>
      <c r="F52" s="0"/>
      <c r="G52" s="6" t="n">
        <f aca="true">(1+INDIRECT(_xlfn.CONCAT("R[",-$A52,"]C")))*INDIRECT(_xlfn.CONCAT("R",$A52+2,"C"))*G$13</f>
        <v>3842.55</v>
      </c>
      <c r="H52" s="6" t="n">
        <f aca="true">(1+INDIRECT(_xlfn.CONCAT("R[",-$A52,"]C")))*INDIRECT(_xlfn.CONCAT("R",$A52+2,"C"))*H$13</f>
        <v>11272.5</v>
      </c>
      <c r="I52" s="6" t="n">
        <f aca="true">(1+INDIRECT(_xlfn.CONCAT("R[",-$A52,"]C")))*INDIRECT(_xlfn.CONCAT("R",$A52+2,"C"))*I$13</f>
        <v>4710</v>
      </c>
      <c r="J52" s="6" t="n">
        <f aca="true">(1+INDIRECT(_xlfn.CONCAT("R[",-$A52,"]C")))*INDIRECT(_xlfn.CONCAT("R",$A52+2,"C"))*J$13</f>
        <v>4833.5</v>
      </c>
      <c r="L52" s="6" t="n">
        <f aca="false">G52-B52</f>
        <v>342.55</v>
      </c>
      <c r="M52" s="6" t="n">
        <f aca="false">H52-C52</f>
        <v>1767.5</v>
      </c>
      <c r="N52" s="6" t="n">
        <f aca="false">I52-D52</f>
        <v>710</v>
      </c>
      <c r="O52" s="6" t="n">
        <f aca="false">J52-E52</f>
        <v>1833.5</v>
      </c>
      <c r="Q52" s="2" t="n">
        <f aca="true">L52/INDIRECT(_xlfn.CONCAT("R",$A52+18,"C[-5]"))</f>
        <v>1</v>
      </c>
      <c r="R52" s="2" t="n">
        <f aca="true">M52/INDIRECT(_xlfn.CONCAT("R",$A52+18,"C[-5]"))</f>
        <v>0.997179125528914</v>
      </c>
      <c r="S52" s="2" t="n">
        <f aca="true">N52/INDIRECT(_xlfn.CONCAT("R",$A52+18,"C[-5]"))</f>
        <v>1</v>
      </c>
      <c r="T52" s="2" t="n">
        <f aca="true">O52/INDIRECT(_xlfn.CONCAT("R",$A52+18,"C[-5]"))</f>
        <v>1</v>
      </c>
      <c r="U52" s="0"/>
      <c r="XFD52" s="0"/>
    </row>
    <row r="53" s="6" customFormat="true" ht="12.8" hidden="false" customHeight="false" outlineLevel="0" collapsed="false">
      <c r="A53" s="5" t="n">
        <v>2</v>
      </c>
      <c r="B53" s="6" t="n">
        <f aca="true">INDIRECT(_xlfn.CONCAT("R[",-$A53,"]C"))+INDIRECT(_xlfn.CONCAT("R",$A53+2,"C"))</f>
        <v>2650</v>
      </c>
      <c r="C53" s="6" t="n">
        <f aca="true">INDIRECT(_xlfn.CONCAT("R[",-$A53,"]C"))+INDIRECT(_xlfn.CONCAT("R",$A53+2,"C"))</f>
        <v>8055</v>
      </c>
      <c r="D53" s="6" t="n">
        <f aca="true">INDIRECT(_xlfn.CONCAT("R[",-$A53,"]C"))+INDIRECT(_xlfn.CONCAT("R",$A53+2,"C"))</f>
        <v>4000</v>
      </c>
      <c r="E53" s="6" t="n">
        <f aca="true">INDIRECT(_xlfn.CONCAT("R[",-$A53,"]C"))+INDIRECT(_xlfn.CONCAT("R",$A53+2,"C"))</f>
        <v>2850</v>
      </c>
      <c r="F53" s="0"/>
      <c r="G53" s="6" t="n">
        <f aca="true">(1+INDIRECT(_xlfn.CONCAT("R[",-$A53,"]C")))*INDIRECT(_xlfn.CONCAT("R",$A53+2,"C"))*G$13</f>
        <v>2906.25</v>
      </c>
      <c r="H53" s="6" t="n">
        <f aca="true">(1+INDIRECT(_xlfn.CONCAT("R[",-$A53,"]C")))*INDIRECT(_xlfn.CONCAT("R",$A53+2,"C"))*H$13</f>
        <v>9622.5</v>
      </c>
      <c r="I53" s="6" t="n">
        <f aca="true">(1+INDIRECT(_xlfn.CONCAT("R[",-$A53,"]C")))*INDIRECT(_xlfn.CONCAT("R",$A53+2,"C"))*I$13</f>
        <v>4553</v>
      </c>
      <c r="J53" s="6" t="n">
        <f aca="true">(1+INDIRECT(_xlfn.CONCAT("R[",-$A53,"]C")))*INDIRECT(_xlfn.CONCAT("R",$A53+2,"C"))*J$13</f>
        <v>4591.825</v>
      </c>
      <c r="L53" s="6" t="n">
        <f aca="false">G53-B53</f>
        <v>256.25</v>
      </c>
      <c r="M53" s="6" t="n">
        <f aca="false">H53-C53</f>
        <v>1567.5</v>
      </c>
      <c r="N53" s="6" t="n">
        <f aca="false">I53-D53</f>
        <v>553</v>
      </c>
      <c r="O53" s="6" t="n">
        <f aca="false">J53-E53</f>
        <v>1741.825</v>
      </c>
      <c r="Q53" s="2" t="n">
        <f aca="true">L53/INDIRECT(_xlfn.CONCAT("R",$A53+18,"C[-5]"))</f>
        <v>1</v>
      </c>
      <c r="R53" s="2" t="n">
        <f aca="true">M53/INDIRECT(_xlfn.CONCAT("R",$A53+18,"C[-5]"))</f>
        <v>0.996820349761526</v>
      </c>
      <c r="S53" s="2" t="n">
        <f aca="true">N53/INDIRECT(_xlfn.CONCAT("R",$A53+18,"C[-5]"))</f>
        <v>1</v>
      </c>
      <c r="T53" s="2" t="n">
        <f aca="true">O53/INDIRECT(_xlfn.CONCAT("R",$A53+18,"C[-5]"))</f>
        <v>1</v>
      </c>
      <c r="U53" s="0"/>
      <c r="XFD53" s="0"/>
    </row>
    <row r="54" s="6" customFormat="true" ht="12.8" hidden="false" customHeight="false" outlineLevel="0" collapsed="false">
      <c r="A54" s="5" t="n">
        <v>3</v>
      </c>
      <c r="B54" s="6" t="n">
        <f aca="true">INDIRECT(_xlfn.CONCAT("R[",-$A54,"]C"))+INDIRECT(_xlfn.CONCAT("R",$A54+2,"C"))</f>
        <v>1625</v>
      </c>
      <c r="C54" s="6" t="n">
        <f aca="true">INDIRECT(_xlfn.CONCAT("R[",-$A54,"]C"))+INDIRECT(_xlfn.CONCAT("R",$A54+2,"C"))</f>
        <v>7355</v>
      </c>
      <c r="D54" s="6" t="n">
        <f aca="true">INDIRECT(_xlfn.CONCAT("R[",-$A54,"]C"))+INDIRECT(_xlfn.CONCAT("R",$A54+2,"C"))</f>
        <v>3850</v>
      </c>
      <c r="E54" s="6" t="n">
        <f aca="true">INDIRECT(_xlfn.CONCAT("R[",-$A54,"]C"))+INDIRECT(_xlfn.CONCAT("R",$A54+2,"C"))</f>
        <v>2675</v>
      </c>
      <c r="F54" s="0"/>
      <c r="G54" s="6" t="n">
        <f aca="true">(1+INDIRECT(_xlfn.CONCAT("R[",-$A54,"]C")))*INDIRECT(_xlfn.CONCAT("R",$A54+2,"C"))*G$13</f>
        <v>1861.85</v>
      </c>
      <c r="H54" s="6" t="n">
        <f aca="true">(1+INDIRECT(_xlfn.CONCAT("R[",-$A54,"]C")))*INDIRECT(_xlfn.CONCAT("R",$A54+2,"C"))*H$13</f>
        <v>8807.25</v>
      </c>
      <c r="I54" s="6" t="n">
        <f aca="true">(1+INDIRECT(_xlfn.CONCAT("R[",-$A54,"]C")))*INDIRECT(_xlfn.CONCAT("R",$A54+2,"C"))*I$13</f>
        <v>4396</v>
      </c>
      <c r="J54" s="6" t="n">
        <f aca="true">(1+INDIRECT(_xlfn.CONCAT("R[",-$A54,"]C")))*INDIRECT(_xlfn.CONCAT("R",$A54+2,"C"))*J$13</f>
        <v>4362.235</v>
      </c>
      <c r="L54" s="6" t="n">
        <f aca="false">G54-B54</f>
        <v>236.85</v>
      </c>
      <c r="M54" s="6" t="n">
        <f aca="false">H54-C54</f>
        <v>1452.25</v>
      </c>
      <c r="N54" s="6" t="n">
        <f aca="false">I54-D54</f>
        <v>546</v>
      </c>
      <c r="O54" s="6" t="n">
        <f aca="false">J54-E54</f>
        <v>1687.235</v>
      </c>
      <c r="Q54" s="2" t="n">
        <f aca="true">L54/INDIRECT(_xlfn.CONCAT("R",$A54+18,"C[-5]"))</f>
        <v>1</v>
      </c>
      <c r="R54" s="2" t="n">
        <f aca="true">M54/INDIRECT(_xlfn.CONCAT("R",$A54+18,"C[-5]"))</f>
        <v>0.996568879739235</v>
      </c>
      <c r="S54" s="2" t="n">
        <f aca="true">N54/INDIRECT(_xlfn.CONCAT("R",$A54+18,"C[-5]"))</f>
        <v>1</v>
      </c>
      <c r="T54" s="2" t="n">
        <f aca="true">O54/INDIRECT(_xlfn.CONCAT("R",$A54+18,"C[-5]"))</f>
        <v>1</v>
      </c>
      <c r="U54" s="0"/>
      <c r="XFD54" s="0"/>
    </row>
    <row r="55" s="6" customFormat="true" ht="12.8" hidden="false" customHeight="false" outlineLevel="0" collapsed="false">
      <c r="A55" s="5" t="n">
        <v>4</v>
      </c>
      <c r="B55" s="6" t="n">
        <f aca="true">INDIRECT(_xlfn.CONCAT("R[",-$A55,"]C"))+INDIRECT(_xlfn.CONCAT("R",$A55+2,"C"))</f>
        <v>1450</v>
      </c>
      <c r="C55" s="6" t="n">
        <f aca="true">INDIRECT(_xlfn.CONCAT("R[",-$A55,"]C"))+INDIRECT(_xlfn.CONCAT("R",$A55+2,"C"))</f>
        <v>5505</v>
      </c>
      <c r="D55" s="6" t="n">
        <f aca="true">INDIRECT(_xlfn.CONCAT("R[",-$A55,"]C"))+INDIRECT(_xlfn.CONCAT("R",$A55+2,"C"))</f>
        <v>3700</v>
      </c>
      <c r="E55" s="6" t="n">
        <f aca="true">INDIRECT(_xlfn.CONCAT("R[",-$A55,"]C"))+INDIRECT(_xlfn.CONCAT("R",$A55+2,"C"))</f>
        <v>2500</v>
      </c>
      <c r="F55" s="0"/>
      <c r="G55" s="6" t="n">
        <f aca="true">(1+INDIRECT(_xlfn.CONCAT("R[",-$A55,"]C")))*INDIRECT(_xlfn.CONCAT("R",$A55+2,"C"))*G$13</f>
        <v>1660.9</v>
      </c>
      <c r="H55" s="6" t="n">
        <f aca="true">(1+INDIRECT(_xlfn.CONCAT("R[",-$A55,"]C")))*INDIRECT(_xlfn.CONCAT("R",$A55+2,"C"))*H$13</f>
        <v>6925.425</v>
      </c>
      <c r="I55" s="6" t="n">
        <f aca="true">(1+INDIRECT(_xlfn.CONCAT("R[",-$A55,"]C")))*INDIRECT(_xlfn.CONCAT("R",$A55+2,"C"))*I$13</f>
        <v>4239</v>
      </c>
      <c r="J55" s="6" t="n">
        <f aca="true">(1+INDIRECT(_xlfn.CONCAT("R[",-$A55,"]C")))*INDIRECT(_xlfn.CONCAT("R",$A55+2,"C"))*J$13</f>
        <v>4144.12</v>
      </c>
      <c r="L55" s="6" t="n">
        <f aca="false">G55-B55</f>
        <v>210.9</v>
      </c>
      <c r="M55" s="6" t="n">
        <f aca="false">H55-C55</f>
        <v>1420.425</v>
      </c>
      <c r="N55" s="6" t="n">
        <f aca="false">I55-D55</f>
        <v>539</v>
      </c>
      <c r="O55" s="6" t="n">
        <f aca="false">J55-E55</f>
        <v>1644.12</v>
      </c>
      <c r="Q55" s="2" t="n">
        <f aca="true">L55/INDIRECT(_xlfn.CONCAT("R",$A55+18,"C[-5]"))</f>
        <v>1</v>
      </c>
      <c r="R55" s="2" t="n">
        <f aca="true">M55/INDIRECT(_xlfn.CONCAT("R",$A55+18,"C[-5]"))</f>
        <v>0.996492274234</v>
      </c>
      <c r="S55" s="2" t="n">
        <f aca="true">N55/INDIRECT(_xlfn.CONCAT("R",$A55+18,"C[-5]"))</f>
        <v>1</v>
      </c>
      <c r="T55" s="2" t="n">
        <f aca="true">O55/INDIRECT(_xlfn.CONCAT("R",$A55+18,"C[-5]"))</f>
        <v>1</v>
      </c>
      <c r="U55" s="0"/>
      <c r="XFD55" s="0"/>
    </row>
    <row r="56" s="6" customFormat="true" ht="12.8" hidden="false" customHeight="false" outlineLevel="0" collapsed="false">
      <c r="A56" s="5" t="n">
        <v>5</v>
      </c>
      <c r="B56" s="6" t="n">
        <f aca="true">INDIRECT(_xlfn.CONCAT("R[",-$A56,"]C"))+INDIRECT(_xlfn.CONCAT("R",$A56+2,"C"))</f>
        <v>1110</v>
      </c>
      <c r="C56" s="6" t="n">
        <f aca="true">INDIRECT(_xlfn.CONCAT("R[",-$A56,"]C"))+INDIRECT(_xlfn.CONCAT("R",$A56+2,"C"))</f>
        <v>5205</v>
      </c>
      <c r="D56" s="6" t="n">
        <f aca="true">INDIRECT(_xlfn.CONCAT("R[",-$A56,"]C"))+INDIRECT(_xlfn.CONCAT("R",$A56+2,"C"))</f>
        <v>3550</v>
      </c>
      <c r="E56" s="6" t="n">
        <f aca="true">INDIRECT(_xlfn.CONCAT("R[",-$A56,"]C"))+INDIRECT(_xlfn.CONCAT("R",$A56+2,"C"))</f>
        <v>2400</v>
      </c>
      <c r="F56" s="0"/>
      <c r="G56" s="6" t="n">
        <f aca="true">(1+INDIRECT(_xlfn.CONCAT("R[",-$A56,"]C")))*INDIRECT(_xlfn.CONCAT("R",$A56+2,"C"))*G$13</f>
        <v>1297.4</v>
      </c>
      <c r="H56" s="6" t="n">
        <f aca="true">(1+INDIRECT(_xlfn.CONCAT("R[",-$A56,"]C")))*INDIRECT(_xlfn.CONCAT("R",$A56+2,"C"))*H$13</f>
        <v>6582.975</v>
      </c>
      <c r="I56" s="6" t="n">
        <f aca="true">(1+INDIRECT(_xlfn.CONCAT("R[",-$A56,"]C")))*INDIRECT(_xlfn.CONCAT("R",$A56+2,"C"))*I$13</f>
        <v>4082</v>
      </c>
      <c r="J56" s="6" t="n">
        <f aca="true">(1+INDIRECT(_xlfn.CONCAT("R[",-$A56,"]C")))*INDIRECT(_xlfn.CONCAT("R",$A56+2,"C"))*J$13</f>
        <v>3936.915</v>
      </c>
      <c r="L56" s="6" t="n">
        <f aca="false">G56-B56</f>
        <v>187.4</v>
      </c>
      <c r="M56" s="6" t="n">
        <f aca="false">H56-C56</f>
        <v>1377.975</v>
      </c>
      <c r="N56" s="6" t="n">
        <f aca="false">I56-D56</f>
        <v>532</v>
      </c>
      <c r="O56" s="6" t="n">
        <f aca="false">J56-E56</f>
        <v>1536.915</v>
      </c>
      <c r="Q56" s="2" t="n">
        <f aca="true">L56/INDIRECT(_xlfn.CONCAT("R",$A56+18,"C[-5]"))</f>
        <v>1</v>
      </c>
      <c r="R56" s="2" t="n">
        <f aca="true">M56/INDIRECT(_xlfn.CONCAT("R",$A56+18,"C[-5]"))</f>
        <v>0.996384605650861</v>
      </c>
      <c r="S56" s="2" t="n">
        <f aca="true">N56/INDIRECT(_xlfn.CONCAT("R",$A56+18,"C[-5]"))</f>
        <v>1</v>
      </c>
      <c r="T56" s="2" t="n">
        <f aca="true">O56/INDIRECT(_xlfn.CONCAT("R",$A56+18,"C[-5]"))</f>
        <v>1</v>
      </c>
      <c r="U56" s="0"/>
      <c r="XFD56" s="0"/>
    </row>
    <row r="57" s="6" customFormat="true" ht="12.8" hidden="false" customHeight="false" outlineLevel="0" collapsed="false">
      <c r="A57" s="5" t="n">
        <v>6</v>
      </c>
      <c r="B57" s="6" t="n">
        <f aca="true">INDIRECT(_xlfn.CONCAT("R[",-$A57,"]C"))+INDIRECT(_xlfn.CONCAT("R",$A57+2,"C"))</f>
        <v>875</v>
      </c>
      <c r="C57" s="6" t="n">
        <f aca="true">INDIRECT(_xlfn.CONCAT("R[",-$A57,"]C"))+INDIRECT(_xlfn.CONCAT("R",$A57+2,"C"))</f>
        <v>5005</v>
      </c>
      <c r="D57" s="6" t="n">
        <f aca="true">INDIRECT(_xlfn.CONCAT("R[",-$A57,"]C"))+INDIRECT(_xlfn.CONCAT("R",$A57+2,"C"))</f>
        <v>3500</v>
      </c>
      <c r="E57" s="6" t="n">
        <f aca="true">INDIRECT(_xlfn.CONCAT("R[",-$A57,"]C"))+INDIRECT(_xlfn.CONCAT("R",$A57+2,"C"))</f>
        <v>2200</v>
      </c>
      <c r="F57" s="0"/>
      <c r="G57" s="6" t="n">
        <f aca="true">(1+INDIRECT(_xlfn.CONCAT("R[",-$A57,"]C")))*INDIRECT(_xlfn.CONCAT("R",$A57+2,"C"))*G$13</f>
        <v>1036.95</v>
      </c>
      <c r="H57" s="6" t="n">
        <f aca="true">(1+INDIRECT(_xlfn.CONCAT("R[",-$A57,"]C")))*INDIRECT(_xlfn.CONCAT("R",$A57+2,"C"))*H$13</f>
        <v>6343.35</v>
      </c>
      <c r="I57" s="6" t="n">
        <f aca="true">(1+INDIRECT(_xlfn.CONCAT("R[",-$A57,"]C")))*INDIRECT(_xlfn.CONCAT("R",$A57+2,"C"))*I$13</f>
        <v>3925</v>
      </c>
      <c r="J57" s="6" t="n">
        <f aca="true">(1+INDIRECT(_xlfn.CONCAT("R[",-$A57,"]C")))*INDIRECT(_xlfn.CONCAT("R",$A57+2,"C"))*J$13</f>
        <v>3740.07</v>
      </c>
      <c r="L57" s="6" t="n">
        <f aca="false">G57-B57</f>
        <v>161.95</v>
      </c>
      <c r="M57" s="6" t="n">
        <f aca="false">H57-C57</f>
        <v>1338.35</v>
      </c>
      <c r="N57" s="6" t="n">
        <f aca="false">I57-D57</f>
        <v>425</v>
      </c>
      <c r="O57" s="6" t="n">
        <f aca="false">J57-E57</f>
        <v>1540.07</v>
      </c>
      <c r="Q57" s="2" t="n">
        <f aca="true">L57/INDIRECT(_xlfn.CONCAT("R",$A57+18,"C[-5]"))</f>
        <v>1</v>
      </c>
      <c r="R57" s="2" t="n">
        <f aca="true">M57/INDIRECT(_xlfn.CONCAT("R",$A57+18,"C[-5]"))</f>
        <v>0.996277961811888</v>
      </c>
      <c r="S57" s="2" t="n">
        <f aca="true">N57/INDIRECT(_xlfn.CONCAT("R",$A57+18,"C[-5]"))</f>
        <v>1</v>
      </c>
      <c r="T57" s="2" t="n">
        <f aca="true">O57/INDIRECT(_xlfn.CONCAT("R",$A57+18,"C[-5]"))</f>
        <v>1</v>
      </c>
      <c r="U57" s="0"/>
      <c r="XFD57" s="0"/>
    </row>
    <row r="58" s="6" customFormat="true" ht="12.8" hidden="false" customHeight="false" outlineLevel="0" collapsed="false">
      <c r="A58" s="5" t="n">
        <v>7</v>
      </c>
      <c r="B58" s="6" t="n">
        <f aca="true">INDIRECT(_xlfn.CONCAT("R[",-$A58,"]C"))+INDIRECT(_xlfn.CONCAT("R",$A58+2,"C"))</f>
        <v>810</v>
      </c>
      <c r="C58" s="6" t="n">
        <f aca="true">INDIRECT(_xlfn.CONCAT("R[",-$A58,"]C"))+INDIRECT(_xlfn.CONCAT("R",$A58+2,"C"))</f>
        <v>4005</v>
      </c>
      <c r="D58" s="6" t="n">
        <f aca="true">INDIRECT(_xlfn.CONCAT("R[",-$A58,"]C"))+INDIRECT(_xlfn.CONCAT("R",$A58+2,"C"))</f>
        <v>3375</v>
      </c>
      <c r="E58" s="6" t="n">
        <f aca="true">INDIRECT(_xlfn.CONCAT("R[",-$A58,"]C"))+INDIRECT(_xlfn.CONCAT("R",$A58+2,"C"))</f>
        <v>2100</v>
      </c>
      <c r="F58" s="0"/>
      <c r="G58" s="6" t="n">
        <f aca="true">(1+INDIRECT(_xlfn.CONCAT("R[",-$A58,"]C")))*INDIRECT(_xlfn.CONCAT("R",$A58+2,"C"))*G$13</f>
        <v>965.95</v>
      </c>
      <c r="H58" s="6" t="n">
        <f aca="true">(1+INDIRECT(_xlfn.CONCAT("R[",-$A58,"]C")))*INDIRECT(_xlfn.CONCAT("R",$A58+2,"C"))*H$13</f>
        <v>5250</v>
      </c>
      <c r="I58" s="6" t="n">
        <f aca="true">(1+INDIRECT(_xlfn.CONCAT("R[",-$A58,"]C")))*INDIRECT(_xlfn.CONCAT("R",$A58+2,"C"))*I$13</f>
        <v>3768</v>
      </c>
      <c r="J58" s="6" t="n">
        <f aca="true">(1+INDIRECT(_xlfn.CONCAT("R[",-$A58,"]C")))*INDIRECT(_xlfn.CONCAT("R",$A58+2,"C"))*J$13</f>
        <v>3553.065</v>
      </c>
      <c r="L58" s="6" t="n">
        <f aca="false">G58-B58</f>
        <v>155.95</v>
      </c>
      <c r="M58" s="6" t="n">
        <f aca="false">H58-C58</f>
        <v>1245</v>
      </c>
      <c r="N58" s="6" t="n">
        <f aca="false">I58-D58</f>
        <v>393</v>
      </c>
      <c r="O58" s="6" t="n">
        <f aca="false">J58-E58</f>
        <v>1453.065</v>
      </c>
      <c r="Q58" s="2" t="n">
        <f aca="true">L58/INDIRECT(_xlfn.CONCAT("R",$A58+18,"C[-5]"))</f>
        <v>1</v>
      </c>
      <c r="R58" s="2" t="n">
        <f aca="true">M58/INDIRECT(_xlfn.CONCAT("R",$A58+18,"C[-5]"))</f>
        <v>0.996</v>
      </c>
      <c r="S58" s="2" t="n">
        <f aca="true">N58/INDIRECT(_xlfn.CONCAT("R",$A58+18,"C[-5]"))</f>
        <v>1</v>
      </c>
      <c r="T58" s="2" t="n">
        <f aca="true">O58/INDIRECT(_xlfn.CONCAT("R",$A58+18,"C[-5]"))</f>
        <v>1</v>
      </c>
      <c r="U58" s="0"/>
      <c r="XFD58" s="0"/>
    </row>
    <row r="59" s="6" customFormat="true" ht="12.8" hidden="false" customHeight="false" outlineLevel="0" collapsed="false">
      <c r="A59" s="5" t="n">
        <v>8</v>
      </c>
      <c r="B59" s="6" t="n">
        <f aca="true">INDIRECT(_xlfn.CONCAT("R[",-$A59,"]C"))+INDIRECT(_xlfn.CONCAT("R",$A59+2,"C"))</f>
        <v>125</v>
      </c>
      <c r="C59" s="6" t="n">
        <f aca="true">INDIRECT(_xlfn.CONCAT("R[",-$A59,"]C"))+INDIRECT(_xlfn.CONCAT("R",$A59+2,"C"))</f>
        <v>4005</v>
      </c>
      <c r="D59" s="6" t="n">
        <f aca="true">INDIRECT(_xlfn.CONCAT("R[",-$A59,"]C"))+INDIRECT(_xlfn.CONCAT("R",$A59+2,"C"))</f>
        <v>3250</v>
      </c>
      <c r="E59" s="6" t="n">
        <f aca="true">INDIRECT(_xlfn.CONCAT("R[",-$A59,"]C"))+INDIRECT(_xlfn.CONCAT("R",$A59+2,"C"))</f>
        <v>2000</v>
      </c>
      <c r="F59" s="0"/>
      <c r="G59" s="6" t="n">
        <f aca="true">(1+INDIRECT(_xlfn.CONCAT("R[",-$A59,"]C")))*INDIRECT(_xlfn.CONCAT("R",$A59+2,"C"))*G$13</f>
        <v>249.75</v>
      </c>
      <c r="H59" s="6" t="n">
        <f aca="true">(1+INDIRECT(_xlfn.CONCAT("R[",-$A59,"]C")))*INDIRECT(_xlfn.CONCAT("R",$A59+2,"C"))*H$13</f>
        <v>4957.5</v>
      </c>
      <c r="I59" s="6" t="n">
        <f aca="true">(1+INDIRECT(_xlfn.CONCAT("R[",-$A59,"]C")))*INDIRECT(_xlfn.CONCAT("R",$A59+2,"C"))*I$13</f>
        <v>3611</v>
      </c>
      <c r="J59" s="6" t="n">
        <f aca="true">(1+INDIRECT(_xlfn.CONCAT("R[",-$A59,"]C")))*INDIRECT(_xlfn.CONCAT("R",$A59+2,"C"))*J$13</f>
        <v>3375.415</v>
      </c>
      <c r="L59" s="6" t="n">
        <f aca="false">G59-B59</f>
        <v>124.75</v>
      </c>
      <c r="M59" s="6" t="n">
        <f aca="false">H59-C59</f>
        <v>952.5</v>
      </c>
      <c r="N59" s="6" t="n">
        <f aca="false">I59-D59</f>
        <v>361</v>
      </c>
      <c r="O59" s="6" t="n">
        <f aca="false">J59-E59</f>
        <v>1375.415</v>
      </c>
      <c r="Q59" s="2" t="n">
        <f aca="true">L59/INDIRECT(_xlfn.CONCAT("R",$A59+18,"C[-5]"))</f>
        <v>1</v>
      </c>
      <c r="R59" s="2" t="n">
        <f aca="true">M59/INDIRECT(_xlfn.CONCAT("R",$A59+18,"C[-5]"))</f>
        <v>0.994778067885118</v>
      </c>
      <c r="S59" s="2" t="n">
        <f aca="true">N59/INDIRECT(_xlfn.CONCAT("R",$A59+18,"C[-5]"))</f>
        <v>1</v>
      </c>
      <c r="T59" s="2" t="n">
        <f aca="true">O59/INDIRECT(_xlfn.CONCAT("R",$A59+18,"C[-5]"))</f>
        <v>1</v>
      </c>
      <c r="U59" s="0"/>
      <c r="XFD59" s="0"/>
    </row>
    <row r="60" s="6" customFormat="true" ht="12.8" hidden="false" customHeight="false" outlineLevel="0" collapsed="false">
      <c r="A60" s="5"/>
      <c r="F60" s="0"/>
      <c r="Q60" s="2"/>
      <c r="R60" s="2"/>
      <c r="S60" s="2"/>
      <c r="T60" s="2"/>
      <c r="U60" s="0"/>
      <c r="XFD60" s="0"/>
    </row>
    <row r="61" customFormat="false" ht="12.8" hidden="false" customHeight="false" outlineLevel="0" collapsed="false">
      <c r="A61" s="1" t="s">
        <v>16</v>
      </c>
    </row>
    <row r="62" s="1" customFormat="true" ht="12.8" hidden="false" customHeight="false" outlineLevel="0" collapsed="false">
      <c r="A62" s="0"/>
      <c r="B62" s="1" t="n">
        <v>0.1</v>
      </c>
      <c r="C62" s="1" t="n">
        <v>0.1</v>
      </c>
      <c r="D62" s="1" t="n">
        <v>0</v>
      </c>
      <c r="E62" s="1" t="n">
        <v>0</v>
      </c>
      <c r="F62" s="0"/>
      <c r="G62" s="1" t="n">
        <v>-0.05</v>
      </c>
      <c r="H62" s="1" t="n">
        <v>-0.01</v>
      </c>
      <c r="I62" s="1" t="n">
        <v>0</v>
      </c>
      <c r="J62" s="1" t="n">
        <v>0</v>
      </c>
      <c r="Q62" s="4"/>
      <c r="R62" s="4"/>
      <c r="S62" s="4"/>
      <c r="T62" s="4"/>
      <c r="U62" s="0"/>
      <c r="XFD62" s="0"/>
    </row>
    <row r="63" s="6" customFormat="true" ht="12.8" hidden="false" customHeight="false" outlineLevel="0" collapsed="false">
      <c r="A63" s="5" t="n">
        <v>1</v>
      </c>
      <c r="B63" s="6" t="n">
        <f aca="true">INDIRECT(_xlfn.CONCAT("R[",-$A63,"]C"))+INDIRECT(_xlfn.CONCAT("R",$A63+2,"C"))</f>
        <v>3500.1</v>
      </c>
      <c r="C63" s="6" t="n">
        <f aca="true">INDIRECT(_xlfn.CONCAT("R[",-$A63,"]C"))+INDIRECT(_xlfn.CONCAT("R",$A63+2,"C"))</f>
        <v>9500.1</v>
      </c>
      <c r="D63" s="6" t="n">
        <f aca="true">INDIRECT(_xlfn.CONCAT("R[",-$A63,"]C"))+INDIRECT(_xlfn.CONCAT("R",$A63+2,"C"))</f>
        <v>4000</v>
      </c>
      <c r="E63" s="6" t="n">
        <f aca="true">INDIRECT(_xlfn.CONCAT("R[",-$A63,"]C"))+INDIRECT(_xlfn.CONCAT("R",$A63+2,"C"))</f>
        <v>3000</v>
      </c>
      <c r="F63" s="0"/>
      <c r="G63" s="6" t="n">
        <f aca="true">(1+INDIRECT(_xlfn.CONCAT("R[",-$A63,"]C")))*INDIRECT(_xlfn.CONCAT("R",$A63+2,"C"))*G$13</f>
        <v>3650.4225</v>
      </c>
      <c r="H63" s="6" t="n">
        <f aca="true">(1+INDIRECT(_xlfn.CONCAT("R[",-$A63,"]C")))*INDIRECT(_xlfn.CONCAT("R",$A63+2,"C"))*H$13</f>
        <v>11159.775</v>
      </c>
      <c r="I63" s="6" t="n">
        <f aca="true">(1+INDIRECT(_xlfn.CONCAT("R[",-$A63,"]C")))*INDIRECT(_xlfn.CONCAT("R",$A63+2,"C"))*I$13</f>
        <v>4710</v>
      </c>
      <c r="J63" s="6" t="n">
        <f aca="true">(1+INDIRECT(_xlfn.CONCAT("R[",-$A63,"]C")))*INDIRECT(_xlfn.CONCAT("R",$A63+2,"C"))*J$13</f>
        <v>4833.5</v>
      </c>
      <c r="L63" s="6" t="n">
        <f aca="false">G63-B63</f>
        <v>150.3225</v>
      </c>
      <c r="M63" s="6" t="n">
        <f aca="false">H63-C63</f>
        <v>1659.675</v>
      </c>
      <c r="N63" s="6" t="n">
        <f aca="false">I63-D63</f>
        <v>710</v>
      </c>
      <c r="O63" s="6" t="n">
        <f aca="false">J63-E63</f>
        <v>1833.5</v>
      </c>
      <c r="Q63" s="2" t="n">
        <f aca="true">L63/INDIRECT(_xlfn.CONCAT("R",$A63+18,"C[-5]"))</f>
        <v>0.438833746898262</v>
      </c>
      <c r="R63" s="2" t="n">
        <f aca="true">M63/INDIRECT(_xlfn.CONCAT("R",$A63+18,"C[-5]"))</f>
        <v>0.936346967559943</v>
      </c>
      <c r="S63" s="2" t="n">
        <f aca="true">N63/INDIRECT(_xlfn.CONCAT("R",$A63+18,"C[-5]"))</f>
        <v>1</v>
      </c>
      <c r="T63" s="2" t="n">
        <f aca="true">O63/INDIRECT(_xlfn.CONCAT("R",$A63+18,"C[-5]"))</f>
        <v>1</v>
      </c>
      <c r="U63" s="0"/>
      <c r="XFD63" s="0"/>
    </row>
    <row r="64" s="6" customFormat="true" ht="12.8" hidden="false" customHeight="false" outlineLevel="0" collapsed="false">
      <c r="A64" s="5" t="n">
        <v>2</v>
      </c>
      <c r="B64" s="6" t="n">
        <f aca="true">INDIRECT(_xlfn.CONCAT("R[",-$A64,"]C"))+INDIRECT(_xlfn.CONCAT("R",$A64+2,"C"))</f>
        <v>2650.1</v>
      </c>
      <c r="C64" s="6" t="n">
        <f aca="true">INDIRECT(_xlfn.CONCAT("R[",-$A64,"]C"))+INDIRECT(_xlfn.CONCAT("R",$A64+2,"C"))</f>
        <v>8050.1</v>
      </c>
      <c r="D64" s="6" t="n">
        <f aca="true">INDIRECT(_xlfn.CONCAT("R[",-$A64,"]C"))+INDIRECT(_xlfn.CONCAT("R",$A64+2,"C"))</f>
        <v>4000</v>
      </c>
      <c r="E64" s="6" t="n">
        <f aca="true">INDIRECT(_xlfn.CONCAT("R[",-$A64,"]C"))+INDIRECT(_xlfn.CONCAT("R",$A64+2,"C"))</f>
        <v>2850</v>
      </c>
      <c r="F64" s="0"/>
      <c r="G64" s="6" t="n">
        <f aca="true">(1+INDIRECT(_xlfn.CONCAT("R[",-$A64,"]C")))*INDIRECT(_xlfn.CONCAT("R",$A64+2,"C"))*G$13</f>
        <v>2760.9375</v>
      </c>
      <c r="H64" s="6" t="n">
        <f aca="true">(1+INDIRECT(_xlfn.CONCAT("R[",-$A64,"]C")))*INDIRECT(_xlfn.CONCAT("R",$A64+2,"C"))*H$13</f>
        <v>9526.275</v>
      </c>
      <c r="I64" s="6" t="n">
        <f aca="true">(1+INDIRECT(_xlfn.CONCAT("R[",-$A64,"]C")))*INDIRECT(_xlfn.CONCAT("R",$A64+2,"C"))*I$13</f>
        <v>4553</v>
      </c>
      <c r="J64" s="6" t="n">
        <f aca="true">(1+INDIRECT(_xlfn.CONCAT("R[",-$A64,"]C")))*INDIRECT(_xlfn.CONCAT("R",$A64+2,"C"))*J$13</f>
        <v>4591.825</v>
      </c>
      <c r="L64" s="6" t="n">
        <f aca="false">G64-B64</f>
        <v>110.8375</v>
      </c>
      <c r="M64" s="6" t="n">
        <f aca="false">H64-C64</f>
        <v>1476.175</v>
      </c>
      <c r="N64" s="6" t="n">
        <f aca="false">I64-D64</f>
        <v>553</v>
      </c>
      <c r="O64" s="6" t="n">
        <f aca="false">J64-E64</f>
        <v>1741.825</v>
      </c>
      <c r="Q64" s="2" t="n">
        <f aca="true">L64/INDIRECT(_xlfn.CONCAT("R",$A64+18,"C[-5]"))</f>
        <v>0.432536585365854</v>
      </c>
      <c r="R64" s="2" t="n">
        <f aca="true">M64/INDIRECT(_xlfn.CONCAT("R",$A64+18,"C[-5]"))</f>
        <v>0.938744038155804</v>
      </c>
      <c r="S64" s="2" t="n">
        <f aca="true">N64/INDIRECT(_xlfn.CONCAT("R",$A64+18,"C[-5]"))</f>
        <v>1</v>
      </c>
      <c r="T64" s="2" t="n">
        <f aca="true">O64/INDIRECT(_xlfn.CONCAT("R",$A64+18,"C[-5]"))</f>
        <v>1</v>
      </c>
      <c r="U64" s="0"/>
      <c r="XFD64" s="0"/>
    </row>
    <row r="65" s="6" customFormat="true" ht="12.8" hidden="false" customHeight="false" outlineLevel="0" collapsed="false">
      <c r="A65" s="5" t="n">
        <v>3</v>
      </c>
      <c r="B65" s="6" t="n">
        <f aca="true">INDIRECT(_xlfn.CONCAT("R[",-$A65,"]C"))+INDIRECT(_xlfn.CONCAT("R",$A65+2,"C"))</f>
        <v>1625.1</v>
      </c>
      <c r="C65" s="6" t="n">
        <f aca="true">INDIRECT(_xlfn.CONCAT("R[",-$A65,"]C"))+INDIRECT(_xlfn.CONCAT("R",$A65+2,"C"))</f>
        <v>7350.1</v>
      </c>
      <c r="D65" s="6" t="n">
        <f aca="true">INDIRECT(_xlfn.CONCAT("R[",-$A65,"]C"))+INDIRECT(_xlfn.CONCAT("R",$A65+2,"C"))</f>
        <v>3850</v>
      </c>
      <c r="E65" s="6" t="n">
        <f aca="true">INDIRECT(_xlfn.CONCAT("R[",-$A65,"]C"))+INDIRECT(_xlfn.CONCAT("R",$A65+2,"C"))</f>
        <v>2675</v>
      </c>
      <c r="F65" s="0"/>
      <c r="G65" s="6" t="n">
        <f aca="true">(1+INDIRECT(_xlfn.CONCAT("R[",-$A65,"]C")))*INDIRECT(_xlfn.CONCAT("R",$A65+2,"C"))*G$13</f>
        <v>1768.7575</v>
      </c>
      <c r="H65" s="6" t="n">
        <f aca="true">(1+INDIRECT(_xlfn.CONCAT("R[",-$A65,"]C")))*INDIRECT(_xlfn.CONCAT("R",$A65+2,"C"))*H$13</f>
        <v>8719.1775</v>
      </c>
      <c r="I65" s="6" t="n">
        <f aca="true">(1+INDIRECT(_xlfn.CONCAT("R[",-$A65,"]C")))*INDIRECT(_xlfn.CONCAT("R",$A65+2,"C"))*I$13</f>
        <v>4396</v>
      </c>
      <c r="J65" s="6" t="n">
        <f aca="true">(1+INDIRECT(_xlfn.CONCAT("R[",-$A65,"]C")))*INDIRECT(_xlfn.CONCAT("R",$A65+2,"C"))*J$13</f>
        <v>4362.235</v>
      </c>
      <c r="L65" s="6" t="n">
        <f aca="false">G65-B65</f>
        <v>143.6575</v>
      </c>
      <c r="M65" s="6" t="n">
        <f aca="false">H65-C65</f>
        <v>1369.0775</v>
      </c>
      <c r="N65" s="6" t="n">
        <f aca="false">I65-D65</f>
        <v>546</v>
      </c>
      <c r="O65" s="6" t="n">
        <f aca="false">J65-E65</f>
        <v>1687.235</v>
      </c>
      <c r="Q65" s="2" t="n">
        <f aca="true">L65/INDIRECT(_xlfn.CONCAT("R",$A65+18,"C[-5]"))</f>
        <v>0.606533671099852</v>
      </c>
      <c r="R65" s="2" t="n">
        <f aca="true">M65/INDIRECT(_xlfn.CONCAT("R",$A65+18,"C[-5]"))</f>
        <v>0.939493909761537</v>
      </c>
      <c r="S65" s="2" t="n">
        <f aca="true">N65/INDIRECT(_xlfn.CONCAT("R",$A65+18,"C[-5]"))</f>
        <v>1</v>
      </c>
      <c r="T65" s="2" t="n">
        <f aca="true">O65/INDIRECT(_xlfn.CONCAT("R",$A65+18,"C[-5]"))</f>
        <v>1</v>
      </c>
      <c r="U65" s="0"/>
      <c r="XFD65" s="0"/>
    </row>
    <row r="66" s="6" customFormat="true" ht="12.8" hidden="false" customHeight="false" outlineLevel="0" collapsed="false">
      <c r="A66" s="5" t="n">
        <v>4</v>
      </c>
      <c r="B66" s="6" t="n">
        <f aca="true">INDIRECT(_xlfn.CONCAT("R[",-$A66,"]C"))+INDIRECT(_xlfn.CONCAT("R",$A66+2,"C"))</f>
        <v>1450.1</v>
      </c>
      <c r="C66" s="6" t="n">
        <f aca="true">INDIRECT(_xlfn.CONCAT("R[",-$A66,"]C"))+INDIRECT(_xlfn.CONCAT("R",$A66+2,"C"))</f>
        <v>5500.1</v>
      </c>
      <c r="D66" s="6" t="n">
        <f aca="true">INDIRECT(_xlfn.CONCAT("R[",-$A66,"]C"))+INDIRECT(_xlfn.CONCAT("R",$A66+2,"C"))</f>
        <v>3700</v>
      </c>
      <c r="E66" s="6" t="n">
        <f aca="true">INDIRECT(_xlfn.CONCAT("R[",-$A66,"]C"))+INDIRECT(_xlfn.CONCAT("R",$A66+2,"C"))</f>
        <v>2500</v>
      </c>
      <c r="F66" s="0"/>
      <c r="G66" s="6" t="n">
        <f aca="true">(1+INDIRECT(_xlfn.CONCAT("R[",-$A66,"]C")))*INDIRECT(_xlfn.CONCAT("R",$A66+2,"C"))*G$13</f>
        <v>1577.855</v>
      </c>
      <c r="H66" s="6" t="n">
        <f aca="true">(1+INDIRECT(_xlfn.CONCAT("R[",-$A66,"]C")))*INDIRECT(_xlfn.CONCAT("R",$A66+2,"C"))*H$13</f>
        <v>6856.17075</v>
      </c>
      <c r="I66" s="6" t="n">
        <f aca="true">(1+INDIRECT(_xlfn.CONCAT("R[",-$A66,"]C")))*INDIRECT(_xlfn.CONCAT("R",$A66+2,"C"))*I$13</f>
        <v>4239</v>
      </c>
      <c r="J66" s="6" t="n">
        <f aca="true">(1+INDIRECT(_xlfn.CONCAT("R[",-$A66,"]C")))*INDIRECT(_xlfn.CONCAT("R",$A66+2,"C"))*J$13</f>
        <v>4144.12</v>
      </c>
      <c r="L66" s="6" t="n">
        <f aca="false">G66-B66</f>
        <v>127.755</v>
      </c>
      <c r="M66" s="6" t="n">
        <f aca="false">H66-C66</f>
        <v>1356.07075</v>
      </c>
      <c r="N66" s="6" t="n">
        <f aca="false">I66-D66</f>
        <v>539</v>
      </c>
      <c r="O66" s="6" t="n">
        <f aca="false">J66-E66</f>
        <v>1644.12</v>
      </c>
      <c r="Q66" s="2" t="n">
        <f aca="true">L66/INDIRECT(_xlfn.CONCAT("R",$A66+18,"C[-5]"))</f>
        <v>0.605761024182076</v>
      </c>
      <c r="R66" s="2" t="n">
        <f aca="true">M66/INDIRECT(_xlfn.CONCAT("R",$A66+18,"C[-5]"))</f>
        <v>0.951344862058683</v>
      </c>
      <c r="S66" s="2" t="n">
        <f aca="true">N66/INDIRECT(_xlfn.CONCAT("R",$A66+18,"C[-5]"))</f>
        <v>1</v>
      </c>
      <c r="T66" s="2" t="n">
        <f aca="true">O66/INDIRECT(_xlfn.CONCAT("R",$A66+18,"C[-5]"))</f>
        <v>1</v>
      </c>
      <c r="U66" s="0"/>
      <c r="XFD66" s="0"/>
    </row>
    <row r="67" s="6" customFormat="true" ht="12.8" hidden="false" customHeight="false" outlineLevel="0" collapsed="false">
      <c r="A67" s="5" t="n">
        <v>5</v>
      </c>
      <c r="B67" s="6" t="n">
        <f aca="true">INDIRECT(_xlfn.CONCAT("R[",-$A67,"]C"))+INDIRECT(_xlfn.CONCAT("R",$A67+2,"C"))</f>
        <v>1110.1</v>
      </c>
      <c r="C67" s="6" t="n">
        <f aca="true">INDIRECT(_xlfn.CONCAT("R[",-$A67,"]C"))+INDIRECT(_xlfn.CONCAT("R",$A67+2,"C"))</f>
        <v>5200.1</v>
      </c>
      <c r="D67" s="6" t="n">
        <f aca="true">INDIRECT(_xlfn.CONCAT("R[",-$A67,"]C"))+INDIRECT(_xlfn.CONCAT("R",$A67+2,"C"))</f>
        <v>3550</v>
      </c>
      <c r="E67" s="6" t="n">
        <f aca="true">INDIRECT(_xlfn.CONCAT("R[",-$A67,"]C"))+INDIRECT(_xlfn.CONCAT("R",$A67+2,"C"))</f>
        <v>2400</v>
      </c>
      <c r="F67" s="0"/>
      <c r="G67" s="6" t="n">
        <f aca="true">(1+INDIRECT(_xlfn.CONCAT("R[",-$A67,"]C")))*INDIRECT(_xlfn.CONCAT("R",$A67+2,"C"))*G$13</f>
        <v>1232.53</v>
      </c>
      <c r="H67" s="6" t="n">
        <f aca="true">(1+INDIRECT(_xlfn.CONCAT("R[",-$A67,"]C")))*INDIRECT(_xlfn.CONCAT("R",$A67+2,"C"))*H$13</f>
        <v>6517.14525</v>
      </c>
      <c r="I67" s="6" t="n">
        <f aca="true">(1+INDIRECT(_xlfn.CONCAT("R[",-$A67,"]C")))*INDIRECT(_xlfn.CONCAT("R",$A67+2,"C"))*I$13</f>
        <v>4082</v>
      </c>
      <c r="J67" s="6" t="n">
        <f aca="true">(1+INDIRECT(_xlfn.CONCAT("R[",-$A67,"]C")))*INDIRECT(_xlfn.CONCAT("R",$A67+2,"C"))*J$13</f>
        <v>3936.915</v>
      </c>
      <c r="L67" s="6" t="n">
        <f aca="false">G67-B67</f>
        <v>122.43</v>
      </c>
      <c r="M67" s="6" t="n">
        <f aca="false">H67-C67</f>
        <v>1317.04525</v>
      </c>
      <c r="N67" s="6" t="n">
        <f aca="false">I67-D67</f>
        <v>532</v>
      </c>
      <c r="O67" s="6" t="n">
        <f aca="false">J67-E67</f>
        <v>1536.915</v>
      </c>
      <c r="Q67" s="2" t="n">
        <f aca="true">L67/INDIRECT(_xlfn.CONCAT("R",$A67+18,"C[-5]"))</f>
        <v>0.653308431163287</v>
      </c>
      <c r="R67" s="2" t="n">
        <f aca="true">M67/INDIRECT(_xlfn.CONCAT("R",$A67+18,"C[-5]"))</f>
        <v>0.952327590881975</v>
      </c>
      <c r="S67" s="2" t="n">
        <f aca="true">N67/INDIRECT(_xlfn.CONCAT("R",$A67+18,"C[-5]"))</f>
        <v>1</v>
      </c>
      <c r="T67" s="2" t="n">
        <f aca="true">O67/INDIRECT(_xlfn.CONCAT("R",$A67+18,"C[-5]"))</f>
        <v>1</v>
      </c>
      <c r="U67" s="0"/>
      <c r="XFD67" s="0"/>
    </row>
    <row r="68" s="6" customFormat="true" ht="12.8" hidden="false" customHeight="false" outlineLevel="0" collapsed="false">
      <c r="A68" s="5" t="n">
        <v>6</v>
      </c>
      <c r="B68" s="6" t="n">
        <f aca="true">INDIRECT(_xlfn.CONCAT("R[",-$A68,"]C"))+INDIRECT(_xlfn.CONCAT("R",$A68+2,"C"))</f>
        <v>875.1</v>
      </c>
      <c r="C68" s="6" t="n">
        <f aca="true">INDIRECT(_xlfn.CONCAT("R[",-$A68,"]C"))+INDIRECT(_xlfn.CONCAT("R",$A68+2,"C"))</f>
        <v>5000.1</v>
      </c>
      <c r="D68" s="6" t="n">
        <f aca="true">INDIRECT(_xlfn.CONCAT("R[",-$A68,"]C"))+INDIRECT(_xlfn.CONCAT("R",$A68+2,"C"))</f>
        <v>3500</v>
      </c>
      <c r="E68" s="6" t="n">
        <f aca="true">INDIRECT(_xlfn.CONCAT("R[",-$A68,"]C"))+INDIRECT(_xlfn.CONCAT("R",$A68+2,"C"))</f>
        <v>2200</v>
      </c>
      <c r="F68" s="0"/>
      <c r="G68" s="6" t="n">
        <f aca="true">(1+INDIRECT(_xlfn.CONCAT("R[",-$A68,"]C")))*INDIRECT(_xlfn.CONCAT("R",$A68+2,"C"))*G$13</f>
        <v>985.1025</v>
      </c>
      <c r="H68" s="6" t="n">
        <f aca="true">(1+INDIRECT(_xlfn.CONCAT("R[",-$A68,"]C")))*INDIRECT(_xlfn.CONCAT("R",$A68+2,"C"))*H$13</f>
        <v>6279.9165</v>
      </c>
      <c r="I68" s="6" t="n">
        <f aca="true">(1+INDIRECT(_xlfn.CONCAT("R[",-$A68,"]C")))*INDIRECT(_xlfn.CONCAT("R",$A68+2,"C"))*I$13</f>
        <v>3925</v>
      </c>
      <c r="J68" s="6" t="n">
        <f aca="true">(1+INDIRECT(_xlfn.CONCAT("R[",-$A68,"]C")))*INDIRECT(_xlfn.CONCAT("R",$A68+2,"C"))*J$13</f>
        <v>3740.07</v>
      </c>
      <c r="L68" s="6" t="n">
        <f aca="false">G68-B68</f>
        <v>110.0025</v>
      </c>
      <c r="M68" s="6" t="n">
        <f aca="false">H68-C68</f>
        <v>1279.8165</v>
      </c>
      <c r="N68" s="6" t="n">
        <f aca="false">I68-D68</f>
        <v>425</v>
      </c>
      <c r="O68" s="6" t="n">
        <f aca="false">J68-E68</f>
        <v>1540.07</v>
      </c>
      <c r="Q68" s="2" t="n">
        <f aca="true">L68/INDIRECT(_xlfn.CONCAT("R",$A68+18,"C[-5]"))</f>
        <v>0.679237418956468</v>
      </c>
      <c r="R68" s="2" t="n">
        <f aca="true">M68/INDIRECT(_xlfn.CONCAT("R",$A68+18,"C[-5]"))</f>
        <v>0.952705177355119</v>
      </c>
      <c r="S68" s="2" t="n">
        <f aca="true">N68/INDIRECT(_xlfn.CONCAT("R",$A68+18,"C[-5]"))</f>
        <v>1</v>
      </c>
      <c r="T68" s="2" t="n">
        <f aca="true">O68/INDIRECT(_xlfn.CONCAT("R",$A68+18,"C[-5]"))</f>
        <v>1</v>
      </c>
      <c r="U68" s="0"/>
      <c r="XFD68" s="0"/>
    </row>
    <row r="69" s="6" customFormat="true" ht="12.8" hidden="false" customHeight="false" outlineLevel="0" collapsed="false">
      <c r="A69" s="5" t="n">
        <v>7</v>
      </c>
      <c r="B69" s="6" t="n">
        <f aca="true">INDIRECT(_xlfn.CONCAT("R[",-$A69,"]C"))+INDIRECT(_xlfn.CONCAT("R",$A69+2,"C"))</f>
        <v>810.1</v>
      </c>
      <c r="C69" s="6" t="n">
        <f aca="true">INDIRECT(_xlfn.CONCAT("R[",-$A69,"]C"))+INDIRECT(_xlfn.CONCAT("R",$A69+2,"C"))</f>
        <v>4000.1</v>
      </c>
      <c r="D69" s="6" t="n">
        <f aca="true">INDIRECT(_xlfn.CONCAT("R[",-$A69,"]C"))+INDIRECT(_xlfn.CONCAT("R",$A69+2,"C"))</f>
        <v>3375</v>
      </c>
      <c r="E69" s="6" t="n">
        <f aca="true">INDIRECT(_xlfn.CONCAT("R[",-$A69,"]C"))+INDIRECT(_xlfn.CONCAT("R",$A69+2,"C"))</f>
        <v>2100</v>
      </c>
      <c r="F69" s="0"/>
      <c r="G69" s="6" t="n">
        <f aca="true">(1+INDIRECT(_xlfn.CONCAT("R[",-$A69,"]C")))*INDIRECT(_xlfn.CONCAT("R",$A69+2,"C"))*G$13</f>
        <v>917.6525</v>
      </c>
      <c r="H69" s="6" t="n">
        <f aca="true">(1+INDIRECT(_xlfn.CONCAT("R[",-$A69,"]C")))*INDIRECT(_xlfn.CONCAT("R",$A69+2,"C"))*H$13</f>
        <v>5197.5</v>
      </c>
      <c r="I69" s="6" t="n">
        <f aca="true">(1+INDIRECT(_xlfn.CONCAT("R[",-$A69,"]C")))*INDIRECT(_xlfn.CONCAT("R",$A69+2,"C"))*I$13</f>
        <v>3768</v>
      </c>
      <c r="J69" s="6" t="n">
        <f aca="true">(1+INDIRECT(_xlfn.CONCAT("R[",-$A69,"]C")))*INDIRECT(_xlfn.CONCAT("R",$A69+2,"C"))*J$13</f>
        <v>3553.065</v>
      </c>
      <c r="L69" s="6" t="n">
        <f aca="false">G69-B69</f>
        <v>107.5525</v>
      </c>
      <c r="M69" s="6" t="n">
        <f aca="false">H69-C69</f>
        <v>1197.4</v>
      </c>
      <c r="N69" s="6" t="n">
        <f aca="false">I69-D69</f>
        <v>393</v>
      </c>
      <c r="O69" s="6" t="n">
        <f aca="false">J69-E69</f>
        <v>1453.065</v>
      </c>
      <c r="Q69" s="2" t="n">
        <f aca="true">L69/INDIRECT(_xlfn.CONCAT("R",$A69+18,"C[-5]"))</f>
        <v>0.689660147483167</v>
      </c>
      <c r="R69" s="2" t="n">
        <f aca="true">M69/INDIRECT(_xlfn.CONCAT("R",$A69+18,"C[-5]"))</f>
        <v>0.95792</v>
      </c>
      <c r="S69" s="2" t="n">
        <f aca="true">N69/INDIRECT(_xlfn.CONCAT("R",$A69+18,"C[-5]"))</f>
        <v>1</v>
      </c>
      <c r="T69" s="2" t="n">
        <f aca="true">O69/INDIRECT(_xlfn.CONCAT("R",$A69+18,"C[-5]"))</f>
        <v>1</v>
      </c>
      <c r="U69" s="0"/>
      <c r="XFD69" s="0"/>
    </row>
    <row r="70" s="6" customFormat="true" ht="12.8" hidden="false" customHeight="false" outlineLevel="0" collapsed="false">
      <c r="A70" s="5" t="n">
        <v>8</v>
      </c>
      <c r="B70" s="6" t="n">
        <f aca="true">INDIRECT(_xlfn.CONCAT("R[",-$A70,"]C"))+INDIRECT(_xlfn.CONCAT("R",$A70+2,"C"))</f>
        <v>125.1</v>
      </c>
      <c r="C70" s="6" t="n">
        <f aca="true">INDIRECT(_xlfn.CONCAT("R[",-$A70,"]C"))+INDIRECT(_xlfn.CONCAT("R",$A70+2,"C"))</f>
        <v>4000.1</v>
      </c>
      <c r="D70" s="6" t="n">
        <f aca="true">INDIRECT(_xlfn.CONCAT("R[",-$A70,"]C"))+INDIRECT(_xlfn.CONCAT("R",$A70+2,"C"))</f>
        <v>3250</v>
      </c>
      <c r="E70" s="6" t="n">
        <f aca="true">INDIRECT(_xlfn.CONCAT("R[",-$A70,"]C"))+INDIRECT(_xlfn.CONCAT("R",$A70+2,"C"))</f>
        <v>2000</v>
      </c>
      <c r="F70" s="0"/>
      <c r="G70" s="6" t="n">
        <f aca="true">(1+INDIRECT(_xlfn.CONCAT("R[",-$A70,"]C")))*INDIRECT(_xlfn.CONCAT("R",$A70+2,"C"))*G$13</f>
        <v>237.2625</v>
      </c>
      <c r="H70" s="6" t="n">
        <f aca="true">(1+INDIRECT(_xlfn.CONCAT("R[",-$A70,"]C")))*INDIRECT(_xlfn.CONCAT("R",$A70+2,"C"))*H$13</f>
        <v>4907.925</v>
      </c>
      <c r="I70" s="6" t="n">
        <f aca="true">(1+INDIRECT(_xlfn.CONCAT("R[",-$A70,"]C")))*INDIRECT(_xlfn.CONCAT("R",$A70+2,"C"))*I$13</f>
        <v>3611</v>
      </c>
      <c r="J70" s="6" t="n">
        <f aca="true">(1+INDIRECT(_xlfn.CONCAT("R[",-$A70,"]C")))*INDIRECT(_xlfn.CONCAT("R",$A70+2,"C"))*J$13</f>
        <v>3375.415</v>
      </c>
      <c r="L70" s="6" t="n">
        <f aca="false">G70-B70</f>
        <v>112.1625</v>
      </c>
      <c r="M70" s="6" t="n">
        <f aca="false">H70-C70</f>
        <v>907.825</v>
      </c>
      <c r="N70" s="6" t="n">
        <f aca="false">I70-D70</f>
        <v>361</v>
      </c>
      <c r="O70" s="6" t="n">
        <f aca="false">J70-E70</f>
        <v>1375.415</v>
      </c>
      <c r="Q70" s="2" t="n">
        <f aca="true">L70/INDIRECT(_xlfn.CONCAT("R",$A70+18,"C[-5]"))</f>
        <v>0.899098196392786</v>
      </c>
      <c r="R70" s="2" t="n">
        <f aca="true">M70/INDIRECT(_xlfn.CONCAT("R",$A70+18,"C[-5]"))</f>
        <v>0.948120104438643</v>
      </c>
      <c r="S70" s="2" t="n">
        <f aca="true">N70/INDIRECT(_xlfn.CONCAT("R",$A70+18,"C[-5]"))</f>
        <v>1</v>
      </c>
      <c r="T70" s="2" t="n">
        <f aca="true">O70/INDIRECT(_xlfn.CONCAT("R",$A70+18,"C[-5]"))</f>
        <v>1</v>
      </c>
      <c r="U70" s="0"/>
      <c r="XFD70" s="0"/>
    </row>
  </sheetData>
  <mergeCells count="6">
    <mergeCell ref="B1:E1"/>
    <mergeCell ref="G1:J1"/>
    <mergeCell ref="B15:E15"/>
    <mergeCell ref="G15:J15"/>
    <mergeCell ref="L15:O15"/>
    <mergeCell ref="Q15:T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en-NZ</dc:language>
  <cp:lastModifiedBy>David O'Sullivan</cp:lastModifiedBy>
  <dcterms:modified xsi:type="dcterms:W3CDTF">2025-11-06T10:53:13Z</dcterms:modified>
  <cp:revision>3</cp:revision>
  <dc:subject/>
  <dc:title/>
</cp:coreProperties>
</file>