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ving-the-middle-abm\data\output\Oreti-Test-3Feb\"/>
    </mc:Choice>
  </mc:AlternateContent>
  <xr:revisionPtr revIDLastSave="0" documentId="13_ncr:9_{80D9EAFC-178F-4A6B-BE25-2C5D6CC94CEA}" xr6:coauthVersionLast="47" xr6:coauthVersionMax="47" xr10:uidLastSave="{00000000-0000-0000-0000-000000000000}"/>
  <bookViews>
    <workbookView xWindow="-120" yWindow="-120" windowWidth="29040" windowHeight="15720" activeTab="2" xr2:uid="{46450E02-8B96-4FA9-A0F5-639D8698507A}"/>
  </bookViews>
  <sheets>
    <sheet name="Scenario" sheetId="1" r:id="rId1"/>
    <sheet name="Estimates" sheetId="2" r:id="rId2"/>
    <sheet name="Pivot" sheetId="3" r:id="rId3"/>
  </sheets>
  <calcPr calcId="0"/>
  <pivotCaches>
    <pivotCache cacheId="5" r:id="rId4"/>
  </pivotCaches>
</workbook>
</file>

<file path=xl/calcChain.xml><?xml version="1.0" encoding="utf-8"?>
<calcChain xmlns="http://schemas.openxmlformats.org/spreadsheetml/2006/main">
  <c r="A36" i="2" l="1"/>
  <c r="A47" i="2" s="1"/>
  <c r="A58" i="2" s="1"/>
  <c r="A69" i="2" s="1"/>
  <c r="A80" i="2" s="1"/>
  <c r="A91" i="2" s="1"/>
  <c r="A102" i="2" s="1"/>
  <c r="A113" i="2" s="1"/>
  <c r="A124" i="2" s="1"/>
  <c r="A135" i="2" s="1"/>
  <c r="A146" i="2" s="1"/>
  <c r="A157" i="2" s="1"/>
  <c r="A168" i="2" s="1"/>
  <c r="A13" i="2"/>
  <c r="A24" i="2" s="1"/>
  <c r="A35" i="2" s="1"/>
  <c r="A46" i="2" s="1"/>
  <c r="A57" i="2" s="1"/>
  <c r="A68" i="2" s="1"/>
  <c r="A79" i="2" s="1"/>
  <c r="A90" i="2" s="1"/>
  <c r="A101" i="2" s="1"/>
  <c r="A112" i="2" s="1"/>
  <c r="A123" i="2" s="1"/>
  <c r="A134" i="2" s="1"/>
  <c r="A145" i="2" s="1"/>
  <c r="A156" i="2" s="1"/>
  <c r="A167" i="2" s="1"/>
  <c r="A3" i="2"/>
  <c r="A14" i="2" s="1"/>
  <c r="A25" i="2" s="1"/>
  <c r="A4" i="2" l="1"/>
  <c r="A5" i="2" l="1"/>
  <c r="A15" i="2"/>
  <c r="A26" i="2" s="1"/>
  <c r="A37" i="2" s="1"/>
  <c r="A48" i="2" s="1"/>
  <c r="A59" i="2" s="1"/>
  <c r="A70" i="2" s="1"/>
  <c r="A81" i="2" s="1"/>
  <c r="A92" i="2" s="1"/>
  <c r="A103" i="2" s="1"/>
  <c r="A114" i="2" s="1"/>
  <c r="A125" i="2" s="1"/>
  <c r="A136" i="2" s="1"/>
  <c r="A147" i="2" s="1"/>
  <c r="A158" i="2" s="1"/>
  <c r="A169" i="2" s="1"/>
  <c r="A6" i="2" l="1"/>
  <c r="A16" i="2"/>
  <c r="A27" i="2" s="1"/>
  <c r="A38" i="2" s="1"/>
  <c r="A49" i="2" s="1"/>
  <c r="A60" i="2" s="1"/>
  <c r="A71" i="2" s="1"/>
  <c r="A82" i="2" s="1"/>
  <c r="A93" i="2" s="1"/>
  <c r="A104" i="2" s="1"/>
  <c r="A115" i="2" s="1"/>
  <c r="A126" i="2" s="1"/>
  <c r="A137" i="2" s="1"/>
  <c r="A148" i="2" s="1"/>
  <c r="A159" i="2" s="1"/>
  <c r="A170" i="2" s="1"/>
  <c r="A7" i="2" l="1"/>
  <c r="A17" i="2"/>
  <c r="A28" i="2" s="1"/>
  <c r="A39" i="2" s="1"/>
  <c r="A50" i="2" s="1"/>
  <c r="A61" i="2" s="1"/>
  <c r="A72" i="2" s="1"/>
  <c r="A83" i="2" s="1"/>
  <c r="A94" i="2" s="1"/>
  <c r="A105" i="2" s="1"/>
  <c r="A116" i="2" s="1"/>
  <c r="A127" i="2" s="1"/>
  <c r="A138" i="2" s="1"/>
  <c r="A149" i="2" s="1"/>
  <c r="A160" i="2" s="1"/>
  <c r="A171" i="2" s="1"/>
  <c r="A8" i="2" l="1"/>
  <c r="A18" i="2"/>
  <c r="A29" i="2" s="1"/>
  <c r="A40" i="2" s="1"/>
  <c r="A51" i="2" s="1"/>
  <c r="A62" i="2" s="1"/>
  <c r="A73" i="2" s="1"/>
  <c r="A84" i="2" s="1"/>
  <c r="A95" i="2" s="1"/>
  <c r="A106" i="2" s="1"/>
  <c r="A117" i="2" s="1"/>
  <c r="A128" i="2" s="1"/>
  <c r="A139" i="2" s="1"/>
  <c r="A150" i="2" s="1"/>
  <c r="A161" i="2" s="1"/>
  <c r="A172" i="2" s="1"/>
  <c r="A9" i="2" l="1"/>
  <c r="A19" i="2"/>
  <c r="A30" i="2" s="1"/>
  <c r="A41" i="2" s="1"/>
  <c r="A52" i="2" s="1"/>
  <c r="A63" i="2" s="1"/>
  <c r="A74" i="2" s="1"/>
  <c r="A85" i="2" s="1"/>
  <c r="A96" i="2" s="1"/>
  <c r="A107" i="2" s="1"/>
  <c r="A118" i="2" s="1"/>
  <c r="A129" i="2" s="1"/>
  <c r="A140" i="2" s="1"/>
  <c r="A151" i="2" s="1"/>
  <c r="A162" i="2" s="1"/>
  <c r="A173" i="2" s="1"/>
  <c r="A10" i="2" l="1"/>
  <c r="A20" i="2"/>
  <c r="A31" i="2" s="1"/>
  <c r="A42" i="2" s="1"/>
  <c r="A53" i="2" s="1"/>
  <c r="A64" i="2" s="1"/>
  <c r="A75" i="2" s="1"/>
  <c r="A86" i="2" s="1"/>
  <c r="A97" i="2" s="1"/>
  <c r="A108" i="2" s="1"/>
  <c r="A119" i="2" s="1"/>
  <c r="A130" i="2" s="1"/>
  <c r="A141" i="2" s="1"/>
  <c r="A152" i="2" s="1"/>
  <c r="A163" i="2" s="1"/>
  <c r="A174" i="2" s="1"/>
  <c r="A11" i="2" l="1"/>
  <c r="A21" i="2"/>
  <c r="A32" i="2" s="1"/>
  <c r="A43" i="2" s="1"/>
  <c r="A54" i="2" s="1"/>
  <c r="A65" i="2" s="1"/>
  <c r="A76" i="2" s="1"/>
  <c r="A87" i="2" s="1"/>
  <c r="A98" i="2" s="1"/>
  <c r="A109" i="2" s="1"/>
  <c r="A120" i="2" s="1"/>
  <c r="A131" i="2" s="1"/>
  <c r="A142" i="2" s="1"/>
  <c r="A153" i="2" s="1"/>
  <c r="A164" i="2" s="1"/>
  <c r="A12" i="2" l="1"/>
  <c r="A23" i="2" s="1"/>
  <c r="A34" i="2" s="1"/>
  <c r="A45" i="2" s="1"/>
  <c r="A56" i="2" s="1"/>
  <c r="A67" i="2" s="1"/>
  <c r="A78" i="2" s="1"/>
  <c r="A89" i="2" s="1"/>
  <c r="A100" i="2" s="1"/>
  <c r="A111" i="2" s="1"/>
  <c r="A122" i="2" s="1"/>
  <c r="A133" i="2" s="1"/>
  <c r="A144" i="2" s="1"/>
  <c r="A155" i="2" s="1"/>
  <c r="A166" i="2" s="1"/>
  <c r="A22" i="2"/>
  <c r="A33" i="2" s="1"/>
  <c r="A44" i="2" s="1"/>
  <c r="A55" i="2" s="1"/>
  <c r="A66" i="2" s="1"/>
  <c r="A77" i="2" s="1"/>
  <c r="A88" i="2" s="1"/>
  <c r="A99" i="2" s="1"/>
  <c r="A110" i="2" s="1"/>
  <c r="A121" i="2" s="1"/>
  <c r="A132" i="2" s="1"/>
  <c r="A143" i="2" s="1"/>
  <c r="A154" i="2" s="1"/>
  <c r="A165" i="2" s="1"/>
</calcChain>
</file>

<file path=xl/sharedStrings.xml><?xml version="1.0" encoding="utf-8"?>
<sst xmlns="http://schemas.openxmlformats.org/spreadsheetml/2006/main" count="132" uniqueCount="66">
  <si>
    <t>parameter_name</t>
  </si>
  <si>
    <t>run-seed</t>
  </si>
  <si>
    <t>geography-seed</t>
  </si>
  <si>
    <t>output_data_folder</t>
  </si>
  <si>
    <t>C:\moving-the-middle-abm\data\output</t>
  </si>
  <si>
    <t>market_data_folder</t>
  </si>
  <si>
    <t>C:\moving-the-middle-abm\data\market\default</t>
  </si>
  <si>
    <t>spatial_data_folder</t>
  </si>
  <si>
    <t>C:\moving-the-middle-abm\data\spatial\Oreti</t>
  </si>
  <si>
    <t>geography_from_files</t>
  </si>
  <si>
    <t>scenario</t>
  </si>
  <si>
    <t>default</t>
  </si>
  <si>
    <t>region</t>
  </si>
  <si>
    <t>Oreti</t>
  </si>
  <si>
    <t>LUC_aggregation_steps</t>
  </si>
  <si>
    <t>number_of_farms</t>
  </si>
  <si>
    <t>correlated_landuse</t>
  </si>
  <si>
    <t>landuse_aggregation_steps</t>
  </si>
  <si>
    <t>include_networks</t>
  </si>
  <si>
    <t>n_local_links</t>
  </si>
  <si>
    <t>n_catchment_links</t>
  </si>
  <si>
    <t>rel_weight_locals</t>
  </si>
  <si>
    <t>rel_weight_catchment</t>
  </si>
  <si>
    <t>interest_rate</t>
  </si>
  <si>
    <t>mortgate_term</t>
  </si>
  <si>
    <t>sigmoid_slope</t>
  </si>
  <si>
    <t>landuse_change_on_succession</t>
  </si>
  <si>
    <t>apply_suitability</t>
  </si>
  <si>
    <t>Scenario 1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</si>
  <si>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</si>
  <si>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</si>
  <si>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</si>
  <si>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</si>
  <si>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</si>
  <si>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</si>
  <si>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</si>
  <si>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Scenario 9</t>
  </si>
  <si>
    <t>Scenario 10</t>
  </si>
  <si>
    <t>Scenario 11</t>
  </si>
  <si>
    <t>Scenario 12</t>
  </si>
  <si>
    <t>Scenario 13</t>
  </si>
  <si>
    <t>Scenario 14</t>
  </si>
  <si>
    <t>tick</t>
  </si>
  <si>
    <t>income_costs_income</t>
  </si>
  <si>
    <t>income_costs_costs</t>
  </si>
  <si>
    <t>income_costs_debt</t>
  </si>
  <si>
    <t>interventions_Build_Wetland</t>
  </si>
  <si>
    <t>interventions_Clean_Races</t>
  </si>
  <si>
    <t>interventions_Farm_Plan</t>
  </si>
  <si>
    <t>interventions_Riparian_Planting</t>
  </si>
  <si>
    <t>landuse_Crop</t>
  </si>
  <si>
    <t>landuse_Dairy</t>
  </si>
  <si>
    <t>landuse_Forest</t>
  </si>
  <si>
    <t>landuse_SNB</t>
  </si>
  <si>
    <t>env_metrics_ghg_emissions</t>
  </si>
  <si>
    <t>env_metrics_nitrates</t>
  </si>
  <si>
    <t>env_metrics_sediment</t>
  </si>
  <si>
    <t>env_metrics_phosphates</t>
  </si>
  <si>
    <t>env_metrics_e_coli</t>
  </si>
  <si>
    <t>Scenario</t>
  </si>
  <si>
    <t>n-disposition-links</t>
  </si>
  <si>
    <t>rel-weight-disposition</t>
  </si>
  <si>
    <t>Row Labels</t>
  </si>
  <si>
    <t>Grand Total</t>
  </si>
  <si>
    <t>Sum of interventions_Farm_Plan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</si>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</sst>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0" borderId="0" xfId="0" applyFont="1"/>
    <xf numFmtId="0" fontId="16" fillId="33" borderId="0" xfId="0" applyFont="1" applyFill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[Oreti_Test_3Feb_Estimates.xlsx]Pivot!PivotTable1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Pivot!$B$5:$B$16</c:f>
              <c:numCache>
                <c:formatCode>General</c:formatCode>
                <c:ptCount val="11"/>
                <c:pt idx="0">
                  <c:v>890</c:v>
                </c:pt>
                <c:pt idx="1">
                  <c:v>1657</c:v>
                </c:pt>
                <c:pt idx="2">
                  <c:v>2491</c:v>
                </c:pt>
                <c:pt idx="3">
                  <c:v>3492</c:v>
                </c:pt>
                <c:pt idx="4">
                  <c:v>4681</c:v>
                </c:pt>
                <c:pt idx="5">
                  <c:v>5605</c:v>
                </c:pt>
                <c:pt idx="6">
                  <c:v>6248</c:v>
                </c:pt>
                <c:pt idx="7">
                  <c:v>6692</c:v>
                </c:pt>
                <c:pt idx="8">
                  <c:v>6631</c:v>
                </c:pt>
                <c:pt idx="9">
                  <c:v>6658</c:v>
                </c:pt>
                <c:pt idx="10">
                  <c:v>6540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7F6-4BDE-BD42-B4AF7973CE06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Pivot!$C$5:$C$16</c:f>
              <c:numCache>
                <c:formatCode>General</c:formatCode>
                <c:ptCount val="11"/>
                <c:pt idx="0">
                  <c:v>890</c:v>
                </c:pt>
                <c:pt idx="1">
                  <c:v>1793</c:v>
                </c:pt>
                <c:pt idx="2">
                  <c:v>2597</c:v>
                </c:pt>
                <c:pt idx="3">
                  <c:v>3779</c:v>
                </c:pt>
                <c:pt idx="4">
                  <c:v>5024</c:v>
                </c:pt>
                <c:pt idx="5">
                  <c:v>5798</c:v>
                </c:pt>
                <c:pt idx="6">
                  <c:v>6246</c:v>
                </c:pt>
                <c:pt idx="7">
                  <c:v>6416</c:v>
                </c:pt>
                <c:pt idx="8">
                  <c:v>6445</c:v>
                </c:pt>
                <c:pt idx="9">
                  <c:v>6418</c:v>
                </c:pt>
                <c:pt idx="10">
                  <c:v>6300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17F6-4BDE-BD42-B4AF7973CE06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Pivot!$D$5:$D$16</c:f>
              <c:numCache>
                <c:formatCode>General</c:formatCode>
                <c:ptCount val="11"/>
                <c:pt idx="0">
                  <c:v>890</c:v>
                </c:pt>
                <c:pt idx="1">
                  <c:v>1815</c:v>
                </c:pt>
                <c:pt idx="2">
                  <c:v>2833</c:v>
                </c:pt>
                <c:pt idx="3">
                  <c:v>3998</c:v>
                </c:pt>
                <c:pt idx="4">
                  <c:v>5119</c:v>
                </c:pt>
                <c:pt idx="5">
                  <c:v>5800</c:v>
                </c:pt>
                <c:pt idx="6">
                  <c:v>6270</c:v>
                </c:pt>
                <c:pt idx="7">
                  <c:v>6561</c:v>
                </c:pt>
                <c:pt idx="8">
                  <c:v>6735</c:v>
                </c:pt>
                <c:pt idx="9">
                  <c:v>6767</c:v>
                </c:pt>
                <c:pt idx="10">
                  <c:v>6746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17F6-4BDE-BD42-B4AF7973CE06}"/>
            </c:ext>
          </c:extLst>
        </c:ser>
        <c:ser>
          <c:idx val="3"/>
          <c:order val="3"/>
          <c:tx>
            <c:strRef>
              <c:f>Pivot!$E$3:$E$4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Pivot!$A$5:$A$16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Pivot!$E$5:$E$16</c:f>
              <c:numCache>
                <c:formatCode>General</c:formatCode>
                <c:ptCount val="11"/>
                <c:pt idx="0">
                  <c:v>890</c:v>
                </c:pt>
                <c:pt idx="1">
                  <c:v>1456</c:v>
                </c:pt>
                <c:pt idx="2">
                  <c:v>1840</c:v>
                </c:pt>
                <c:pt idx="3">
                  <c:v>2366</c:v>
                </c:pt>
                <c:pt idx="4">
                  <c:v>3149</c:v>
                </c:pt>
                <c:pt idx="5">
                  <c:v>3547</c:v>
                </c:pt>
                <c:pt idx="6">
                  <c:v>4099</c:v>
                </c:pt>
                <c:pt idx="7">
                  <c:v>4529</c:v>
                </c:pt>
                <c:pt idx="8">
                  <c:v>4921</c:v>
                </c:pt>
                <c:pt idx="9">
                  <c:v>5218</c:v>
                </c:pt>
                <c:pt idx="10">
                  <c:v>5400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17F6-4BDE-BD42-B4AF7973CE06}"/>
            </c:ext>
          </c:extLst>
        </c:ser>
        <c:ser>
          <c:idx val="4"/>
          <c:order val="4"/>
          <c:tx>
            <c:strRef>
              <c:f>Pivot!$F$3:$F$4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Pivot!$A$5:$A$16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Pivot!$F$5:$F$16</c:f>
              <c:numCache>
                <c:formatCode>General</c:formatCode>
                <c:ptCount val="11"/>
                <c:pt idx="0">
                  <c:v>890</c:v>
                </c:pt>
                <c:pt idx="1">
                  <c:v>2600</c:v>
                </c:pt>
                <c:pt idx="2">
                  <c:v>4118</c:v>
                </c:pt>
                <c:pt idx="3">
                  <c:v>5720</c:v>
                </c:pt>
                <c:pt idx="4">
                  <c:v>6785</c:v>
                </c:pt>
                <c:pt idx="5">
                  <c:v>7333</c:v>
                </c:pt>
                <c:pt idx="6">
                  <c:v>7374</c:v>
                </c:pt>
                <c:pt idx="7">
                  <c:v>7064</c:v>
                </c:pt>
                <c:pt idx="8">
                  <c:v>7014</c:v>
                </c:pt>
                <c:pt idx="9">
                  <c:v>6819</c:v>
                </c:pt>
                <c:pt idx="10">
                  <c:v>6564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17F6-4BDE-BD42-B4AF7973CE06}"/>
            </c:ext>
          </c:extLst>
        </c:ser>
        <c:ser>
          <c:idx val="5"/>
          <c:order val="5"/>
          <c:tx>
            <c:strRef>
              <c:f>Pivot!$G$3:$G$4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Pivot!$A$5:$A$16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Pivot!$G$5:$G$16</c:f>
              <c:numCache>
                <c:formatCode>General</c:formatCode>
                <c:ptCount val="11"/>
                <c:pt idx="0">
                  <c:v>890</c:v>
                </c:pt>
                <c:pt idx="1">
                  <c:v>1675</c:v>
                </c:pt>
                <c:pt idx="2">
                  <c:v>2685</c:v>
                </c:pt>
                <c:pt idx="3">
                  <c:v>3642</c:v>
                </c:pt>
                <c:pt idx="4">
                  <c:v>4764</c:v>
                </c:pt>
                <c:pt idx="5">
                  <c:v>5569</c:v>
                </c:pt>
                <c:pt idx="6">
                  <c:v>5999</c:v>
                </c:pt>
                <c:pt idx="7">
                  <c:v>6085</c:v>
                </c:pt>
                <c:pt idx="8">
                  <c:v>6268</c:v>
                </c:pt>
                <c:pt idx="9">
                  <c:v>6195</c:v>
                </c:pt>
                <c:pt idx="10">
                  <c:v>6112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17F6-4BDE-BD42-B4AF7973CE06}"/>
            </c:ext>
          </c:extLst>
        </c:ser>
        <c:ser>
          <c:idx val="6"/>
          <c:order val="6"/>
          <c:tx>
            <c:strRef>
              <c:f>Pivot!$H$3:$H$4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Pivot!$H$5:$H$16</c:f>
              <c:numCache>
                <c:formatCode>General</c:formatCode>
                <c:ptCount val="11"/>
                <c:pt idx="0">
                  <c:v>890</c:v>
                </c:pt>
                <c:pt idx="1">
                  <c:v>1695</c:v>
                </c:pt>
                <c:pt idx="2">
                  <c:v>2473</c:v>
                </c:pt>
                <c:pt idx="3">
                  <c:v>3625</c:v>
                </c:pt>
                <c:pt idx="4">
                  <c:v>4868</c:v>
                </c:pt>
                <c:pt idx="5">
                  <c:v>5694</c:v>
                </c:pt>
                <c:pt idx="6">
                  <c:v>6269</c:v>
                </c:pt>
                <c:pt idx="7">
                  <c:v>6372</c:v>
                </c:pt>
                <c:pt idx="8">
                  <c:v>6515</c:v>
                </c:pt>
                <c:pt idx="9">
                  <c:v>6529</c:v>
                </c:pt>
                <c:pt idx="10">
                  <c:v>6445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17F6-4BDE-BD42-B4AF7973CE06}"/>
            </c:ext>
          </c:extLst>
        </c:ser>
        <c:ser>
          <c:idx val="7"/>
          <c:order val="7"/>
          <c:tx>
            <c:strRef>
              <c:f>Pivot!$I$3:$I$4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Pivot!$I$5:$I$16</c:f>
              <c:numCache>
                <c:formatCode>General</c:formatCode>
                <c:ptCount val="11"/>
                <c:pt idx="0">
                  <c:v>890</c:v>
                </c:pt>
                <c:pt idx="1">
                  <c:v>1709</c:v>
                </c:pt>
                <c:pt idx="2">
                  <c:v>2691</c:v>
                </c:pt>
                <c:pt idx="3">
                  <c:v>3817</c:v>
                </c:pt>
                <c:pt idx="4">
                  <c:v>5007</c:v>
                </c:pt>
                <c:pt idx="5">
                  <c:v>5708</c:v>
                </c:pt>
                <c:pt idx="6">
                  <c:v>6040</c:v>
                </c:pt>
                <c:pt idx="7">
                  <c:v>6317</c:v>
                </c:pt>
                <c:pt idx="8">
                  <c:v>6337</c:v>
                </c:pt>
                <c:pt idx="9">
                  <c:v>6372</c:v>
                </c:pt>
                <c:pt idx="10">
                  <c:v>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17F6-4BDE-BD42-B4AF7973CE06}"/>
            </c:ext>
          </c:extLst>
        </c:ser>
        <c:ser>
          <c:idx val="8"/>
          <c:order val="8"/>
          <c:tx>
            <c:strRef>
              <c:f>Pivot!$J$3:$J$4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Pivot!$J$5:$J$16</c:f>
              <c:numCache>
                <c:formatCode>General</c:formatCode>
                <c:ptCount val="11"/>
                <c:pt idx="0">
                  <c:v>890</c:v>
                </c:pt>
                <c:pt idx="1">
                  <c:v>1711</c:v>
                </c:pt>
                <c:pt idx="2">
                  <c:v>2591</c:v>
                </c:pt>
                <c:pt idx="3">
                  <c:v>3817</c:v>
                </c:pt>
                <c:pt idx="4">
                  <c:v>4950</c:v>
                </c:pt>
                <c:pt idx="5">
                  <c:v>5611</c:v>
                </c:pt>
                <c:pt idx="6">
                  <c:v>6190</c:v>
                </c:pt>
                <c:pt idx="7">
                  <c:v>6440</c:v>
                </c:pt>
                <c:pt idx="8">
                  <c:v>6472</c:v>
                </c:pt>
                <c:pt idx="9">
                  <c:v>6514</c:v>
                </c:pt>
                <c:pt idx="10">
                  <c:v>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17F6-4BDE-BD42-B4AF7973CE06}"/>
            </c:ext>
          </c:extLst>
        </c:ser>
        <c:ser>
          <c:idx val="9"/>
          <c:order val="9"/>
          <c:tx>
            <c:strRef>
              <c:f>Pivot!$K$3:$K$4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Pivot!$K$5:$K$16</c:f>
              <c:numCache>
                <c:formatCode>General</c:formatCode>
                <c:ptCount val="11"/>
                <c:pt idx="0">
                  <c:v>890</c:v>
                </c:pt>
                <c:pt idx="1">
                  <c:v>1587</c:v>
                </c:pt>
                <c:pt idx="2">
                  <c:v>2616</c:v>
                </c:pt>
                <c:pt idx="3">
                  <c:v>3670</c:v>
                </c:pt>
                <c:pt idx="4">
                  <c:v>4772</c:v>
                </c:pt>
                <c:pt idx="5">
                  <c:v>5812</c:v>
                </c:pt>
                <c:pt idx="6">
                  <c:v>6269</c:v>
                </c:pt>
                <c:pt idx="7">
                  <c:v>6433</c:v>
                </c:pt>
                <c:pt idx="8">
                  <c:v>6681</c:v>
                </c:pt>
                <c:pt idx="9">
                  <c:v>6660</c:v>
                </c:pt>
                <c:pt idx="10">
                  <c:v>6617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17F6-4BDE-BD42-B4AF7973CE06}"/>
            </c:ext>
          </c:extLst>
        </c:ser>
        <c:ser>
          <c:idx val="10"/>
          <c:order val="10"/>
          <c:tx>
            <c:strRef>
              <c:f>Pivot!$L$3:$L$4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Pivot!$L$5:$L$16</c:f>
              <c:numCache>
                <c:formatCode>General</c:formatCode>
                <c:ptCount val="11"/>
                <c:pt idx="0">
                  <c:v>890</c:v>
                </c:pt>
                <c:pt idx="1">
                  <c:v>1547</c:v>
                </c:pt>
                <c:pt idx="2">
                  <c:v>2203</c:v>
                </c:pt>
                <c:pt idx="3">
                  <c:v>2969</c:v>
                </c:pt>
                <c:pt idx="4">
                  <c:v>3624</c:v>
                </c:pt>
                <c:pt idx="5">
                  <c:v>4322</c:v>
                </c:pt>
                <c:pt idx="6">
                  <c:v>4839</c:v>
                </c:pt>
                <c:pt idx="7">
                  <c:v>5170</c:v>
                </c:pt>
                <c:pt idx="8">
                  <c:v>5350</c:v>
                </c:pt>
                <c:pt idx="9">
                  <c:v>5549</c:v>
                </c:pt>
                <c:pt idx="10">
                  <c:v>5634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17F6-4BDE-BD42-B4AF7973CE06}"/>
            </c:ext>
          </c:extLst>
        </c:ser>
        <c:ser>
          <c:idx val="11"/>
          <c:order val="11"/>
          <c:tx>
            <c:strRef>
              <c:f>Pivot!$M$3:$M$4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Pivot!$M$5:$M$16</c:f>
              <c:numCache>
                <c:formatCode>General</c:formatCode>
                <c:ptCount val="11"/>
                <c:pt idx="0">
                  <c:v>890</c:v>
                </c:pt>
                <c:pt idx="1">
                  <c:v>1989</c:v>
                </c:pt>
                <c:pt idx="2">
                  <c:v>3167</c:v>
                </c:pt>
                <c:pt idx="3">
                  <c:v>4660</c:v>
                </c:pt>
                <c:pt idx="4">
                  <c:v>5916</c:v>
                </c:pt>
                <c:pt idx="5">
                  <c:v>6505</c:v>
                </c:pt>
                <c:pt idx="6">
                  <c:v>6760</c:v>
                </c:pt>
                <c:pt idx="7">
                  <c:v>6952</c:v>
                </c:pt>
                <c:pt idx="8">
                  <c:v>6988</c:v>
                </c:pt>
                <c:pt idx="9">
                  <c:v>6828</c:v>
                </c:pt>
                <c:pt idx="10">
                  <c:v>6682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17F6-4BDE-BD42-B4AF7973CE06}"/>
            </c:ext>
          </c:extLst>
        </c:ser>
        <c:ser>
          <c:idx val="12"/>
          <c:order val="12"/>
          <c:tx>
            <c:strRef>
              <c:f>Pivot!$N$3:$N$4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Pivot!$N$5:$N$16</c:f>
              <c:numCache>
                <c:formatCode>General</c:formatCode>
                <c:ptCount val="11"/>
                <c:pt idx="0">
                  <c:v>890</c:v>
                </c:pt>
                <c:pt idx="1">
                  <c:v>1869</c:v>
                </c:pt>
                <c:pt idx="2">
                  <c:v>3150</c:v>
                </c:pt>
                <c:pt idx="3">
                  <c:v>4764</c:v>
                </c:pt>
                <c:pt idx="4">
                  <c:v>6257</c:v>
                </c:pt>
                <c:pt idx="5">
                  <c:v>6920</c:v>
                </c:pt>
                <c:pt idx="6">
                  <c:v>7133</c:v>
                </c:pt>
                <c:pt idx="7">
                  <c:v>7077</c:v>
                </c:pt>
                <c:pt idx="8">
                  <c:v>7016</c:v>
                </c:pt>
                <c:pt idx="9">
                  <c:v>6831</c:v>
                </c:pt>
                <c:pt idx="10">
                  <c:v>6705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17F6-4BDE-BD42-B4AF7973CE06}"/>
            </c:ext>
          </c:extLst>
        </c:ser>
        <c:ser>
          <c:idx val="13"/>
          <c:order val="13"/>
          <c:tx>
            <c:strRef>
              <c:f>Pivot!$O$3:$O$4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Pivot!$O$5:$O$16</c:f>
              <c:numCache>
                <c:formatCode>General</c:formatCode>
                <c:ptCount val="11"/>
                <c:pt idx="0">
                  <c:v>890</c:v>
                </c:pt>
                <c:pt idx="1">
                  <c:v>2104</c:v>
                </c:pt>
                <c:pt idx="2">
                  <c:v>3650</c:v>
                </c:pt>
                <c:pt idx="3">
                  <c:v>5130</c:v>
                </c:pt>
                <c:pt idx="4">
                  <c:v>6207</c:v>
                </c:pt>
                <c:pt idx="5">
                  <c:v>6790</c:v>
                </c:pt>
                <c:pt idx="6">
                  <c:v>6955</c:v>
                </c:pt>
                <c:pt idx="7">
                  <c:v>6825</c:v>
                </c:pt>
                <c:pt idx="8">
                  <c:v>6755</c:v>
                </c:pt>
                <c:pt idx="9">
                  <c:v>6608</c:v>
                </c:pt>
                <c:pt idx="10">
                  <c:v>6457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17F6-4BDE-BD42-B4AF7973C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827663"/>
        <c:axId val="1608776783"/>
      </c:lineChart>
      <c:catAx>
        <c:axId val="160882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776783"/>
        <c:crosses val="autoZero"/>
        <c:auto val="1"/>
        <c:lblAlgn val="ctr"/>
        <c:lblOffset val="100"/>
        <c:noMultiLvlLbl val="0"/>
      </c:catAx>
      <c:valAx>
        <c:axId val="160877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82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6</xdr:row>
      <xdr:rowOff>180974</xdr:rowOff>
    </xdr:from>
    <xdr:to>
      <xdr:col>16</xdr:col>
      <xdr:colOff>1562099</xdr:colOff>
      <xdr:row>32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95E956-3E94-9A63-F563-7C8A3338D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J Daigneault" refreshedDate="46056.617688078702" createdVersion="8" refreshedVersion="8" minRefreshableVersion="3" recordCount="174" xr:uid="{F9AB1E3F-35C0-4B66-B4C1-B4C3A3399658}">
  <cacheSource type="worksheet">
    <worksheetSource ref="A1:R1048576" sheet="Estimates"/>
  </cacheSource>
  <cacheFields count="18">
    <cacheField name="Scenario" numFmtId="0">
      <sharedItems containsString="0" containsBlank="1" containsNumber="1" containsInteger="1" minValue="1" maxValue="16" count="1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m/>
      </sharedItems>
    </cacheField>
    <cacheField name="tick" numFmtId="0">
      <sharedItems containsString="0" containsBlank="1" containsNumber="1" containsInteger="1" minValue="0" maxValue="10" count="12">
        <n v="0"/>
        <n v="1"/>
        <n v="2"/>
        <n v="3"/>
        <n v="4"/>
        <n v="5"/>
        <n v="6"/>
        <n v="7"/>
        <n v="8"/>
        <n v="9"/>
        <n v="10"/>
        <m/>
      </sharedItems>
    </cacheField>
    <cacheField name="income_costs_income" numFmtId="0">
      <sharedItems containsString="0" containsBlank="1" containsNumber="1" containsInteger="1" minValue="678439072" maxValue="720901773" count="131">
        <n v="719112410"/>
        <n v="719371589"/>
        <n v="713081723"/>
        <n v="704864780"/>
        <n v="703131486"/>
        <n v="699440125"/>
        <n v="701025330"/>
        <n v="697119177"/>
        <n v="700617763"/>
        <n v="703960874"/>
        <n v="712954854"/>
        <n v="718273665"/>
        <n v="715457048"/>
        <n v="710374284"/>
        <n v="702521271"/>
        <n v="694009006"/>
        <n v="691962817"/>
        <n v="696332806"/>
        <n v="697140620"/>
        <n v="693274311"/>
        <n v="695894545"/>
        <n v="718748705"/>
        <n v="711735375"/>
        <n v="705763896"/>
        <n v="701320861"/>
        <n v="692395658"/>
        <n v="684717026"/>
        <n v="681673511"/>
        <n v="682502416"/>
        <n v="678439072"/>
        <n v="680986858"/>
        <n v="711922408"/>
        <n v="715736779"/>
        <n v="712093609"/>
        <n v="708402033"/>
        <n v="703439086"/>
        <n v="700604438"/>
        <n v="699564611"/>
        <n v="698855272"/>
        <n v="699814760"/>
        <n v="707194404"/>
        <n v="695707191"/>
        <n v="694162949"/>
        <n v="685226113"/>
        <n v="689898249"/>
        <n v="696319949"/>
        <n v="698472807"/>
        <n v="692515109"/>
        <n v="699455650"/>
        <n v="714440016"/>
        <n v="704016747"/>
        <n v="701816105"/>
        <n v="700009570"/>
        <n v="700567768"/>
        <n v="699302617"/>
        <n v="694619943"/>
        <n v="698097710"/>
        <n v="691947851"/>
        <n v="711016835"/>
        <n v="706101004"/>
        <n v="702377467"/>
        <n v="704072463"/>
        <n v="701542711"/>
        <n v="703525360"/>
        <n v="706586035"/>
        <n v="705480776"/>
        <n v="709335311"/>
        <n v="711293958"/>
        <n v="707971612"/>
        <n v="700837304"/>
        <n v="699970209"/>
        <n v="699319445"/>
        <n v="694393557"/>
        <n v="694460901"/>
        <n v="696649711"/>
        <n v="697255366"/>
        <n v="713718463"/>
        <n v="711149026"/>
        <n v="708476225"/>
        <n v="707073472"/>
        <n v="703829736"/>
        <n v="704222554"/>
        <n v="704840810"/>
        <n v="703441715"/>
        <n v="703159134"/>
        <n v="713145821"/>
        <n v="711781112"/>
        <n v="705230043"/>
        <n v="700342153"/>
        <n v="696342501"/>
        <n v="693913893"/>
        <n v="696244951"/>
        <n v="694820236"/>
        <n v="693256224"/>
        <n v="714472762"/>
        <n v="710314963"/>
        <n v="707674825"/>
        <n v="701263012"/>
        <n v="697087364"/>
        <n v="692817023"/>
        <n v="694039249"/>
        <n v="697498452"/>
        <n v="697923177"/>
        <n v="711150054"/>
        <n v="703408853"/>
        <n v="698220378"/>
        <n v="689872277"/>
        <n v="688675752"/>
        <n v="691502279"/>
        <n v="692027417"/>
        <n v="692177118"/>
        <n v="697703643"/>
        <n v="716979583"/>
        <n v="712299906"/>
        <n v="707457813"/>
        <n v="702101741"/>
        <n v="698272601"/>
        <n v="695531690"/>
        <n v="695341113"/>
        <n v="696020801"/>
        <n v="692600783"/>
        <n v="720901773"/>
        <n v="713803725"/>
        <n v="708898824"/>
        <n v="707544928"/>
        <n v="709545790"/>
        <n v="716759054"/>
        <n v="713561463"/>
        <n v="711375741"/>
        <n v="712555053"/>
        <m/>
      </sharedItems>
    </cacheField>
    <cacheField name="income_costs_costs" numFmtId="0">
      <sharedItems containsString="0" containsBlank="1" containsNumber="1" containsInteger="1" minValue="604501557" maxValue="638042034"/>
    </cacheField>
    <cacheField name="income_costs_debt" numFmtId="0">
      <sharedItems containsString="0" containsBlank="1" containsNumber="1" containsInteger="1" minValue="157918285" maxValue="265862198"/>
    </cacheField>
    <cacheField name="interventions_Build_Wetland" numFmtId="0">
      <sharedItems containsString="0" containsBlank="1" containsNumber="1" containsInteger="1" minValue="916" maxValue="7471"/>
    </cacheField>
    <cacheField name="interventions_Clean_Races" numFmtId="0">
      <sharedItems containsString="0" containsBlank="1" containsNumber="1" containsInteger="1" minValue="352" maxValue="2803"/>
    </cacheField>
    <cacheField name="interventions_Farm_Plan" numFmtId="0">
      <sharedItems containsString="0" containsBlank="1" containsNumber="1" containsInteger="1" minValue="890" maxValue="7374"/>
    </cacheField>
    <cacheField name="interventions_Riparian_Planting" numFmtId="0">
      <sharedItems containsString="0" containsBlank="1" containsNumber="1" containsInteger="1" minValue="1109" maxValue="7416"/>
    </cacheField>
    <cacheField name="landuse_Crop" numFmtId="0">
      <sharedItems containsString="0" containsBlank="1" containsNumber="1" containsInteger="1" minValue="68" maxValue="394"/>
    </cacheField>
    <cacheField name="landuse_Dairy" numFmtId="0">
      <sharedItems containsString="0" containsBlank="1" containsNumber="1" containsInteger="1" minValue="2652" maxValue="3558"/>
    </cacheField>
    <cacheField name="landuse_Forest" numFmtId="0">
      <sharedItems containsString="0" containsBlank="1" containsNumber="1" containsInteger="1" minValue="1314" maxValue="3602"/>
    </cacheField>
    <cacheField name="landuse_SNB" numFmtId="0">
      <sharedItems containsString="0" containsBlank="1" containsNumber="1" containsInteger="1" minValue="3694" maxValue="5442"/>
    </cacheField>
    <cacheField name="env_metrics_ghg_emissions" numFmtId="0">
      <sharedItems containsString="0" containsBlank="1" containsNumber="1" minValue="0.65755395683453199" maxValue="0.93597122302158198"/>
    </cacheField>
    <cacheField name="env_metrics_nitrates" numFmtId="0">
      <sharedItems containsString="0" containsBlank="1" containsNumber="1" containsInteger="1" minValue="1" maxValue="1"/>
    </cacheField>
    <cacheField name="env_metrics_sediment" numFmtId="0">
      <sharedItems containsString="0" containsBlank="1" containsNumber="1" containsInteger="1" minValue="1" maxValue="1"/>
    </cacheField>
    <cacheField name="env_metrics_phosphates" numFmtId="0">
      <sharedItems containsString="0" containsBlank="1" containsNumber="1" containsInteger="1" minValue="1" maxValue="1"/>
    </cacheField>
    <cacheField name="env_metrics_e_coli" numFmtId="0">
      <sharedItems containsString="0" containsBlank="1" containsNumber="1" minValue="0.96402877697841705" maxValue="0.989928057553955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x v="0"/>
    <x v="0"/>
    <x v="0"/>
    <n v="616362962"/>
    <n v="169977435"/>
    <n v="916"/>
    <n v="352"/>
    <n v="890"/>
    <n v="1109"/>
    <n v="68"/>
    <n v="3558"/>
    <n v="1314"/>
    <n v="5442"/>
    <n v="0.93597122302158198"/>
    <n v="1"/>
    <n v="1"/>
    <n v="1"/>
    <n v="0.98992805755395596"/>
  </r>
  <r>
    <x v="0"/>
    <x v="1"/>
    <x v="1"/>
    <n v="616686296"/>
    <n v="220655594"/>
    <n v="1749"/>
    <n v="597"/>
    <n v="1657"/>
    <n v="1756"/>
    <n v="86"/>
    <n v="3459"/>
    <n v="1523"/>
    <n v="5314"/>
    <n v="0.93597122302158198"/>
    <n v="1"/>
    <n v="1"/>
    <n v="1"/>
    <n v="0.98992805755395596"/>
  </r>
  <r>
    <x v="0"/>
    <x v="2"/>
    <x v="2"/>
    <n v="614168169"/>
    <n v="227277865"/>
    <n v="2646"/>
    <n v="914"/>
    <n v="2491"/>
    <n v="2676"/>
    <n v="85"/>
    <n v="3305"/>
    <n v="1782"/>
    <n v="5210"/>
    <n v="0.90431654676258899"/>
    <n v="1"/>
    <n v="1"/>
    <n v="1"/>
    <n v="0.98992805755395596"/>
  </r>
  <r>
    <x v="0"/>
    <x v="3"/>
    <x v="3"/>
    <n v="609146028"/>
    <n v="219897063"/>
    <n v="3721"/>
    <n v="1188"/>
    <n v="3492"/>
    <n v="4017"/>
    <n v="99"/>
    <n v="3299"/>
    <n v="1884"/>
    <n v="5100"/>
    <n v="0.87050359712230196"/>
    <n v="1"/>
    <n v="1"/>
    <n v="1"/>
    <n v="0.98992805755395596"/>
  </r>
  <r>
    <x v="0"/>
    <x v="4"/>
    <x v="4"/>
    <n v="612683272"/>
    <n v="198324594"/>
    <n v="4861"/>
    <n v="1442"/>
    <n v="4681"/>
    <n v="4835"/>
    <n v="111"/>
    <n v="3236"/>
    <n v="2049"/>
    <n v="4986"/>
    <n v="0.85539568345323702"/>
    <n v="1"/>
    <n v="1"/>
    <n v="1"/>
    <n v="0.98848920863309298"/>
  </r>
  <r>
    <x v="0"/>
    <x v="5"/>
    <x v="5"/>
    <n v="613749954"/>
    <n v="162199760"/>
    <n v="5701"/>
    <n v="1724"/>
    <n v="5605"/>
    <n v="5560"/>
    <n v="117"/>
    <n v="3178"/>
    <n v="2236"/>
    <n v="4851"/>
    <n v="0.81870503597122302"/>
    <n v="1"/>
    <n v="1"/>
    <n v="1"/>
    <n v="0.98848920863309298"/>
  </r>
  <r>
    <x v="0"/>
    <x v="6"/>
    <x v="6"/>
    <n v="617719281"/>
    <n v="178528829"/>
    <n v="6187"/>
    <n v="1968"/>
    <n v="6248"/>
    <n v="5998"/>
    <n v="136"/>
    <n v="3111"/>
    <n v="2435"/>
    <n v="4700"/>
    <n v="0.78776978417266097"/>
    <n v="1"/>
    <n v="1"/>
    <n v="1"/>
    <n v="0.98633093525179805"/>
  </r>
  <r>
    <x v="0"/>
    <x v="7"/>
    <x v="7"/>
    <n v="616871897"/>
    <n v="186316248"/>
    <n v="6446"/>
    <n v="2117"/>
    <n v="6692"/>
    <n v="6367"/>
    <n v="144"/>
    <n v="3040"/>
    <n v="2597"/>
    <n v="4601"/>
    <n v="0.76474820143884803"/>
    <n v="1"/>
    <n v="1"/>
    <n v="1"/>
    <n v="0.98489208633093495"/>
  </r>
  <r>
    <x v="0"/>
    <x v="8"/>
    <x v="8"/>
    <n v="620600572"/>
    <n v="191656138"/>
    <n v="6606"/>
    <n v="2333"/>
    <n v="6631"/>
    <n v="6416"/>
    <n v="168"/>
    <n v="2998"/>
    <n v="2891"/>
    <n v="4325"/>
    <n v="0.73956834532374105"/>
    <n v="1"/>
    <n v="1"/>
    <n v="1"/>
    <n v="0.98489208633093495"/>
  </r>
  <r>
    <x v="0"/>
    <x v="9"/>
    <x v="9"/>
    <n v="624169598"/>
    <n v="194619567"/>
    <n v="6636"/>
    <n v="2438"/>
    <n v="6658"/>
    <n v="6466"/>
    <n v="174"/>
    <n v="2982"/>
    <n v="3078"/>
    <n v="4148"/>
    <n v="0.70719424460431601"/>
    <n v="1"/>
    <n v="1"/>
    <n v="1"/>
    <n v="0.98129496402877703"/>
  </r>
  <r>
    <x v="0"/>
    <x v="10"/>
    <x v="10"/>
    <n v="632642670"/>
    <n v="199653662"/>
    <n v="6529"/>
    <n v="2487"/>
    <n v="6540"/>
    <n v="6490"/>
    <n v="188"/>
    <n v="2938"/>
    <n v="3321"/>
    <n v="3935"/>
    <n v="0.68776978417266099"/>
    <n v="1"/>
    <n v="1"/>
    <n v="1"/>
    <n v="0.97985611510791304"/>
  </r>
  <r>
    <x v="1"/>
    <x v="0"/>
    <x v="0"/>
    <n v="616362962"/>
    <n v="169977435"/>
    <n v="916"/>
    <n v="352"/>
    <n v="890"/>
    <n v="1109"/>
    <n v="68"/>
    <n v="3558"/>
    <n v="1314"/>
    <n v="5442"/>
    <n v="0.93597122302158198"/>
    <n v="1"/>
    <n v="1"/>
    <n v="1"/>
    <n v="0.98992805755395596"/>
  </r>
  <r>
    <x v="1"/>
    <x v="1"/>
    <x v="11"/>
    <n v="616353502"/>
    <n v="214112179"/>
    <n v="1583"/>
    <n v="593"/>
    <n v="1793"/>
    <n v="2061"/>
    <n v="91"/>
    <n v="3469"/>
    <n v="1543"/>
    <n v="5279"/>
    <n v="0.93597122302158198"/>
    <n v="1"/>
    <n v="1"/>
    <n v="1"/>
    <n v="0.98992805755395596"/>
  </r>
  <r>
    <x v="1"/>
    <x v="2"/>
    <x v="12"/>
    <n v="614922708"/>
    <n v="239710274"/>
    <n v="2350"/>
    <n v="753"/>
    <n v="2597"/>
    <n v="2918"/>
    <n v="129"/>
    <n v="3333"/>
    <n v="1857"/>
    <n v="5063"/>
    <n v="0.902877697841726"/>
    <n v="1"/>
    <n v="1"/>
    <n v="1"/>
    <n v="0.98705035971222999"/>
  </r>
  <r>
    <x v="1"/>
    <x v="3"/>
    <x v="13"/>
    <n v="614673009"/>
    <n v="227785603"/>
    <n v="3430"/>
    <n v="992"/>
    <n v="3779"/>
    <n v="3833"/>
    <n v="161"/>
    <n v="3207"/>
    <n v="2087"/>
    <n v="4927"/>
    <n v="0.86187050359712203"/>
    <n v="1"/>
    <n v="1"/>
    <n v="1"/>
    <n v="0.985611510791366"/>
  </r>
  <r>
    <x v="1"/>
    <x v="4"/>
    <x v="14"/>
    <n v="610864603"/>
    <n v="206190686"/>
    <n v="4455"/>
    <n v="1280"/>
    <n v="5024"/>
    <n v="4732"/>
    <n v="238"/>
    <n v="3151"/>
    <n v="2131"/>
    <n v="4862"/>
    <n v="0.83093525179856098"/>
    <n v="1"/>
    <n v="1"/>
    <n v="1"/>
    <n v="0.98057553956834498"/>
  </r>
  <r>
    <x v="1"/>
    <x v="5"/>
    <x v="15"/>
    <n v="605648777"/>
    <n v="188410370"/>
    <n v="5232"/>
    <n v="1555"/>
    <n v="5798"/>
    <n v="5616"/>
    <n v="245"/>
    <n v="3112"/>
    <n v="2261"/>
    <n v="4764"/>
    <n v="0.80431654676258901"/>
    <n v="1"/>
    <n v="1"/>
    <n v="1"/>
    <n v="0.97697841726618695"/>
  </r>
  <r>
    <x v="1"/>
    <x v="6"/>
    <x v="16"/>
    <n v="607175443"/>
    <n v="184186059"/>
    <n v="5848"/>
    <n v="1785"/>
    <n v="6246"/>
    <n v="6063"/>
    <n v="269"/>
    <n v="3084"/>
    <n v="2409"/>
    <n v="4620"/>
    <n v="0.78561151079136604"/>
    <n v="1"/>
    <n v="1"/>
    <n v="1"/>
    <n v="0.97697841726618695"/>
  </r>
  <r>
    <x v="1"/>
    <x v="7"/>
    <x v="17"/>
    <n v="612995717"/>
    <n v="186058586"/>
    <n v="6178"/>
    <n v="2016"/>
    <n v="6416"/>
    <n v="6320"/>
    <n v="285"/>
    <n v="3027"/>
    <n v="2640"/>
    <n v="4430"/>
    <n v="0.75899280575539496"/>
    <n v="1"/>
    <n v="1"/>
    <n v="1"/>
    <n v="0.97553956834532296"/>
  </r>
  <r>
    <x v="1"/>
    <x v="8"/>
    <x v="18"/>
    <n v="613996725"/>
    <n v="197529809"/>
    <n v="6378"/>
    <n v="2108"/>
    <n v="6445"/>
    <n v="6482"/>
    <n v="325"/>
    <n v="2898"/>
    <n v="2888"/>
    <n v="4271"/>
    <n v="0.72877697841726596"/>
    <n v="1"/>
    <n v="1"/>
    <n v="1"/>
    <n v="0.97194244604316504"/>
  </r>
  <r>
    <x v="1"/>
    <x v="9"/>
    <x v="19"/>
    <n v="611804845"/>
    <n v="213204682"/>
    <n v="6511"/>
    <n v="2244"/>
    <n v="6418"/>
    <n v="6508"/>
    <n v="380"/>
    <n v="2829"/>
    <n v="3077"/>
    <n v="4096"/>
    <n v="0.70071942446043101"/>
    <n v="1"/>
    <n v="1"/>
    <n v="1"/>
    <n v="0.96690647482014302"/>
  </r>
  <r>
    <x v="1"/>
    <x v="10"/>
    <x v="20"/>
    <n v="612732535"/>
    <n v="213686923"/>
    <n v="6530"/>
    <n v="2327"/>
    <n v="6300"/>
    <n v="6553"/>
    <n v="394"/>
    <n v="2776"/>
    <n v="3264"/>
    <n v="3948"/>
    <n v="0.67266187050359705"/>
    <n v="1"/>
    <n v="1"/>
    <n v="1"/>
    <n v="0.96402877697841705"/>
  </r>
  <r>
    <x v="2"/>
    <x v="0"/>
    <x v="0"/>
    <n v="616362962"/>
    <n v="169977435"/>
    <n v="916"/>
    <n v="352"/>
    <n v="890"/>
    <n v="1109"/>
    <n v="68"/>
    <n v="3558"/>
    <n v="1314"/>
    <n v="5442"/>
    <n v="0.93597122302158198"/>
    <n v="1"/>
    <n v="1"/>
    <n v="1"/>
    <n v="0.98992805755395596"/>
  </r>
  <r>
    <x v="2"/>
    <x v="1"/>
    <x v="21"/>
    <n v="615882606"/>
    <n v="212538910"/>
    <n v="1802"/>
    <n v="536"/>
    <n v="1815"/>
    <n v="1840"/>
    <n v="95"/>
    <n v="3443"/>
    <n v="1518"/>
    <n v="5326"/>
    <n v="0.93597122302158198"/>
    <n v="1"/>
    <n v="1"/>
    <n v="1"/>
    <n v="0.98992805755395596"/>
  </r>
  <r>
    <x v="2"/>
    <x v="2"/>
    <x v="22"/>
    <n v="612777560"/>
    <n v="214384210"/>
    <n v="2581"/>
    <n v="744"/>
    <n v="2833"/>
    <n v="2847"/>
    <n v="104"/>
    <n v="3355"/>
    <n v="1710"/>
    <n v="5213"/>
    <n v="0.91007194244604295"/>
    <n v="1"/>
    <n v="1"/>
    <n v="1"/>
    <n v="0.98776978417266104"/>
  </r>
  <r>
    <x v="2"/>
    <x v="3"/>
    <x v="23"/>
    <n v="611406706"/>
    <n v="224017202"/>
    <n v="3753"/>
    <n v="1040"/>
    <n v="3998"/>
    <n v="3748"/>
    <n v="125"/>
    <n v="3248"/>
    <n v="1965"/>
    <n v="5044"/>
    <n v="0.87697841726618697"/>
    <n v="1"/>
    <n v="1"/>
    <n v="1"/>
    <n v="0.98633093525179805"/>
  </r>
  <r>
    <x v="2"/>
    <x v="4"/>
    <x v="24"/>
    <n v="611726228"/>
    <n v="203002984"/>
    <n v="4798"/>
    <n v="1310"/>
    <n v="5119"/>
    <n v="4646"/>
    <n v="124"/>
    <n v="3120"/>
    <n v="2169"/>
    <n v="4969"/>
    <n v="0.84388489208633"/>
    <n v="1"/>
    <n v="1"/>
    <n v="1"/>
    <n v="0.98417266187050301"/>
  </r>
  <r>
    <x v="2"/>
    <x v="5"/>
    <x v="25"/>
    <n v="607549733"/>
    <n v="200602819"/>
    <n v="5652"/>
    <n v="1557"/>
    <n v="5800"/>
    <n v="5414"/>
    <n v="130"/>
    <n v="3041"/>
    <n v="2262"/>
    <n v="4949"/>
    <n v="0.81510791366906399"/>
    <n v="1"/>
    <n v="1"/>
    <n v="1"/>
    <n v="0.98201438848920797"/>
  </r>
  <r>
    <x v="2"/>
    <x v="6"/>
    <x v="26"/>
    <n v="605368666"/>
    <n v="190679888"/>
    <n v="6216"/>
    <n v="1818"/>
    <n v="6270"/>
    <n v="5957"/>
    <n v="139"/>
    <n v="2975"/>
    <n v="2433"/>
    <n v="4835"/>
    <n v="0.79856115107913594"/>
    <n v="1"/>
    <n v="1"/>
    <n v="1"/>
    <n v="0.98129496402877703"/>
  </r>
  <r>
    <x v="2"/>
    <x v="7"/>
    <x v="27"/>
    <n v="604501557"/>
    <n v="194699644"/>
    <n v="6515"/>
    <n v="2016"/>
    <n v="6561"/>
    <n v="6385"/>
    <n v="140"/>
    <n v="2935"/>
    <n v="2620"/>
    <n v="4687"/>
    <n v="0.76978417266187005"/>
    <n v="1"/>
    <n v="1"/>
    <n v="1"/>
    <n v="0.97985611510791304"/>
  </r>
  <r>
    <x v="2"/>
    <x v="8"/>
    <x v="28"/>
    <n v="606707551"/>
    <n v="190225789"/>
    <n v="6706"/>
    <n v="2220"/>
    <n v="6735"/>
    <n v="6745"/>
    <n v="141"/>
    <n v="2844"/>
    <n v="2816"/>
    <n v="4581"/>
    <n v="0.75107913669064696"/>
    <n v="1"/>
    <n v="1"/>
    <n v="1"/>
    <n v="0.97985611510791304"/>
  </r>
  <r>
    <x v="2"/>
    <x v="9"/>
    <x v="29"/>
    <n v="605122113"/>
    <n v="195950350"/>
    <n v="6812"/>
    <n v="2306"/>
    <n v="6767"/>
    <n v="6759"/>
    <n v="156"/>
    <n v="2802"/>
    <n v="2970"/>
    <n v="4454"/>
    <n v="0.72374100719424395"/>
    <n v="1"/>
    <n v="1"/>
    <n v="1"/>
    <n v="0.97913669064748199"/>
  </r>
  <r>
    <x v="2"/>
    <x v="10"/>
    <x v="30"/>
    <n v="606250466"/>
    <n v="199541502"/>
    <n v="6820"/>
    <n v="2407"/>
    <n v="6746"/>
    <n v="6796"/>
    <n v="143"/>
    <n v="2736"/>
    <n v="3115"/>
    <n v="4388"/>
    <n v="0.70647482014388396"/>
    <n v="1"/>
    <n v="1"/>
    <n v="1"/>
    <n v="0.97841726618705005"/>
  </r>
  <r>
    <x v="3"/>
    <x v="0"/>
    <x v="0"/>
    <n v="616362962"/>
    <n v="169977435"/>
    <n v="916"/>
    <n v="352"/>
    <n v="890"/>
    <n v="1109"/>
    <n v="68"/>
    <n v="3558"/>
    <n v="1314"/>
    <n v="5442"/>
    <n v="0.93597122302158198"/>
    <n v="1"/>
    <n v="1"/>
    <n v="1"/>
    <n v="0.98992805755395596"/>
  </r>
  <r>
    <x v="3"/>
    <x v="1"/>
    <x v="1"/>
    <n v="616686296"/>
    <n v="227872818"/>
    <n v="1269"/>
    <n v="487"/>
    <n v="1456"/>
    <n v="1612"/>
    <n v="83"/>
    <n v="3427"/>
    <n v="1547"/>
    <n v="5325"/>
    <n v="0.93597122302158198"/>
    <n v="1"/>
    <n v="1"/>
    <n v="1"/>
    <n v="0.98992805755395596"/>
  </r>
  <r>
    <x v="3"/>
    <x v="2"/>
    <x v="31"/>
    <n v="612138615"/>
    <n v="248612533"/>
    <n v="1716"/>
    <n v="656"/>
    <n v="1840"/>
    <n v="2054"/>
    <n v="87"/>
    <n v="3381"/>
    <n v="1810"/>
    <n v="5104"/>
    <n v="0.89568345323741005"/>
    <n v="1"/>
    <n v="1"/>
    <n v="1"/>
    <n v="0.98776978417266104"/>
  </r>
  <r>
    <x v="3"/>
    <x v="3"/>
    <x v="32"/>
    <n v="616380061"/>
    <n v="227910144"/>
    <n v="2510"/>
    <n v="772"/>
    <n v="2366"/>
    <n v="2653"/>
    <n v="107"/>
    <n v="3318"/>
    <n v="1931"/>
    <n v="5026"/>
    <n v="0.86115107913668998"/>
    <n v="1"/>
    <n v="1"/>
    <n v="1"/>
    <n v="0.98705035971222999"/>
  </r>
  <r>
    <x v="3"/>
    <x v="4"/>
    <x v="33"/>
    <n v="614484237"/>
    <n v="205372962"/>
    <n v="2959"/>
    <n v="883"/>
    <n v="3149"/>
    <n v="3158"/>
    <n v="139"/>
    <n v="3235"/>
    <n v="2114"/>
    <n v="4894"/>
    <n v="0.83669064748201405"/>
    <n v="1"/>
    <n v="1"/>
    <n v="1"/>
    <n v="0.98489208633093495"/>
  </r>
  <r>
    <x v="3"/>
    <x v="5"/>
    <x v="34"/>
    <n v="613347729"/>
    <n v="199977357"/>
    <n v="3672"/>
    <n v="1036"/>
    <n v="3547"/>
    <n v="3629"/>
    <n v="160"/>
    <n v="3143"/>
    <n v="2275"/>
    <n v="4804"/>
    <n v="0.81510791366906399"/>
    <n v="1"/>
    <n v="1"/>
    <n v="1"/>
    <n v="0.98057553956834498"/>
  </r>
  <r>
    <x v="3"/>
    <x v="6"/>
    <x v="35"/>
    <n v="611056948"/>
    <n v="191707518"/>
    <n v="4066"/>
    <n v="1170"/>
    <n v="4099"/>
    <n v="4088"/>
    <n v="181"/>
    <n v="3088"/>
    <n v="2411"/>
    <n v="4702"/>
    <n v="0.79208633093525105"/>
    <n v="1"/>
    <n v="1"/>
    <n v="1"/>
    <n v="0.97985611510791304"/>
  </r>
  <r>
    <x v="3"/>
    <x v="7"/>
    <x v="36"/>
    <n v="610739295"/>
    <n v="183253428"/>
    <n v="4369"/>
    <n v="1309"/>
    <n v="4529"/>
    <n v="4499"/>
    <n v="204"/>
    <n v="3016"/>
    <n v="2540"/>
    <n v="4622"/>
    <n v="0.769064748201438"/>
    <n v="1"/>
    <n v="1"/>
    <n v="1"/>
    <n v="0.977697841726618"/>
  </r>
  <r>
    <x v="3"/>
    <x v="8"/>
    <x v="37"/>
    <n v="609983250"/>
    <n v="188462114"/>
    <n v="4860"/>
    <n v="1457"/>
    <n v="4921"/>
    <n v="4798"/>
    <n v="229"/>
    <n v="2998"/>
    <n v="2615"/>
    <n v="4540"/>
    <n v="0.74460431654676196"/>
    <n v="1"/>
    <n v="1"/>
    <n v="1"/>
    <n v="0.97625899280575501"/>
  </r>
  <r>
    <x v="3"/>
    <x v="9"/>
    <x v="38"/>
    <n v="611726507"/>
    <n v="197520590"/>
    <n v="5183"/>
    <n v="1532"/>
    <n v="5218"/>
    <n v="4955"/>
    <n v="232"/>
    <n v="2943"/>
    <n v="2831"/>
    <n v="4376"/>
    <n v="0.72805755395683402"/>
    <n v="1"/>
    <n v="1"/>
    <n v="1"/>
    <n v="0.97553956834532296"/>
  </r>
  <r>
    <x v="3"/>
    <x v="10"/>
    <x v="39"/>
    <n v="612184752"/>
    <n v="206643054"/>
    <n v="5430"/>
    <n v="1652"/>
    <n v="5400"/>
    <n v="5203"/>
    <n v="256"/>
    <n v="2853"/>
    <n v="2971"/>
    <n v="4302"/>
    <n v="0.70503597122302097"/>
    <n v="1"/>
    <n v="1"/>
    <n v="1"/>
    <n v="0.97266187050359698"/>
  </r>
  <r>
    <x v="4"/>
    <x v="0"/>
    <x v="0"/>
    <n v="616362962"/>
    <n v="169977435"/>
    <n v="916"/>
    <n v="352"/>
    <n v="890"/>
    <n v="1109"/>
    <n v="68"/>
    <n v="3558"/>
    <n v="1314"/>
    <n v="5442"/>
    <n v="0.93597122302158198"/>
    <n v="1"/>
    <n v="1"/>
    <n v="1"/>
    <n v="0.98992805755395596"/>
  </r>
  <r>
    <x v="4"/>
    <x v="1"/>
    <x v="1"/>
    <n v="616686296"/>
    <n v="207616128"/>
    <n v="2512"/>
    <n v="837"/>
    <n v="2600"/>
    <n v="2294"/>
    <n v="83"/>
    <n v="3440"/>
    <n v="1506"/>
    <n v="5353"/>
    <n v="0.93597122302158198"/>
    <n v="1"/>
    <n v="1"/>
    <n v="1"/>
    <n v="0.98992805755395596"/>
  </r>
  <r>
    <x v="4"/>
    <x v="2"/>
    <x v="40"/>
    <n v="611677072"/>
    <n v="229275342"/>
    <n v="4199"/>
    <n v="1201"/>
    <n v="4118"/>
    <n v="4054"/>
    <n v="104"/>
    <n v="3280"/>
    <n v="1796"/>
    <n v="5202"/>
    <n v="0.90143884892086301"/>
    <n v="1"/>
    <n v="1"/>
    <n v="1"/>
    <n v="0.98920863309352502"/>
  </r>
  <r>
    <x v="4"/>
    <x v="3"/>
    <x v="41"/>
    <n v="608318389"/>
    <n v="199428457"/>
    <n v="5902"/>
    <n v="1726"/>
    <n v="5720"/>
    <n v="5645"/>
    <n v="129"/>
    <n v="3240"/>
    <n v="1991"/>
    <n v="5022"/>
    <n v="0.86978417266187003"/>
    <n v="1"/>
    <n v="1"/>
    <n v="1"/>
    <n v="0.985611510791366"/>
  </r>
  <r>
    <x v="4"/>
    <x v="4"/>
    <x v="42"/>
    <n v="612811412"/>
    <n v="187530537"/>
    <n v="6879"/>
    <n v="2236"/>
    <n v="6785"/>
    <n v="6796"/>
    <n v="145"/>
    <n v="3123"/>
    <n v="2195"/>
    <n v="4919"/>
    <n v="0.83884892086330898"/>
    <n v="1"/>
    <n v="1"/>
    <n v="1"/>
    <n v="0.98345323741007196"/>
  </r>
  <r>
    <x v="4"/>
    <x v="5"/>
    <x v="43"/>
    <n v="609543462"/>
    <n v="173141554"/>
    <n v="7292"/>
    <n v="2580"/>
    <n v="7333"/>
    <n v="7361"/>
    <n v="131"/>
    <n v="3106"/>
    <n v="2421"/>
    <n v="4724"/>
    <n v="0.80863309352517898"/>
    <n v="1"/>
    <n v="1"/>
    <n v="1"/>
    <n v="0.98129496402877703"/>
  </r>
  <r>
    <x v="4"/>
    <x v="6"/>
    <x v="44"/>
    <n v="615732442"/>
    <n v="192486643"/>
    <n v="7471"/>
    <n v="2689"/>
    <n v="7374"/>
    <n v="7416"/>
    <n v="138"/>
    <n v="3026"/>
    <n v="2636"/>
    <n v="4582"/>
    <n v="0.77697841726618699"/>
    <n v="1"/>
    <n v="1"/>
    <n v="1"/>
    <n v="0.98129496402877703"/>
  </r>
  <r>
    <x v="4"/>
    <x v="7"/>
    <x v="45"/>
    <n v="621934076"/>
    <n v="204046923"/>
    <n v="7177"/>
    <n v="2764"/>
    <n v="7064"/>
    <n v="7166"/>
    <n v="162"/>
    <n v="2968"/>
    <n v="3030"/>
    <n v="4222"/>
    <n v="0.74100719424460404"/>
    <n v="1"/>
    <n v="1"/>
    <n v="1"/>
    <n v="0.98057553956834498"/>
  </r>
  <r>
    <x v="4"/>
    <x v="8"/>
    <x v="46"/>
    <n v="621665245"/>
    <n v="187671794"/>
    <n v="7028"/>
    <n v="2787"/>
    <n v="7014"/>
    <n v="7036"/>
    <n v="176"/>
    <n v="2882"/>
    <n v="3133"/>
    <n v="4191"/>
    <n v="0.716546762589928"/>
    <n v="1"/>
    <n v="1"/>
    <n v="1"/>
    <n v="0.977697841726618"/>
  </r>
  <r>
    <x v="4"/>
    <x v="9"/>
    <x v="47"/>
    <n v="617656520"/>
    <n v="200204774"/>
    <n v="6869"/>
    <n v="2791"/>
    <n v="6819"/>
    <n v="6955"/>
    <n v="185"/>
    <n v="2844"/>
    <n v="3342"/>
    <n v="4011"/>
    <n v="0.69352517985611495"/>
    <n v="1"/>
    <n v="1"/>
    <n v="1"/>
    <n v="0.97553956834532296"/>
  </r>
  <r>
    <x v="4"/>
    <x v="10"/>
    <x v="48"/>
    <n v="621308630"/>
    <n v="214484749"/>
    <n v="6717"/>
    <n v="2751"/>
    <n v="6564"/>
    <n v="6729"/>
    <n v="199"/>
    <n v="2791"/>
    <n v="3577"/>
    <n v="3815"/>
    <n v="0.67050359712230201"/>
    <n v="1"/>
    <n v="1"/>
    <n v="1"/>
    <n v="0.97338129496402803"/>
  </r>
  <r>
    <x v="5"/>
    <x v="0"/>
    <x v="0"/>
    <n v="616362962"/>
    <n v="169977435"/>
    <n v="916"/>
    <n v="352"/>
    <n v="890"/>
    <n v="1109"/>
    <n v="68"/>
    <n v="3558"/>
    <n v="1314"/>
    <n v="5442"/>
    <n v="0.93597122302158198"/>
    <n v="1"/>
    <n v="1"/>
    <n v="1"/>
    <n v="0.98992805755395596"/>
  </r>
  <r>
    <x v="5"/>
    <x v="1"/>
    <x v="1"/>
    <n v="616686296"/>
    <n v="228874089"/>
    <n v="1743"/>
    <n v="496"/>
    <n v="1675"/>
    <n v="1752"/>
    <n v="68"/>
    <n v="3471"/>
    <n v="1555"/>
    <n v="5288"/>
    <n v="0.93597122302158198"/>
    <n v="1"/>
    <n v="1"/>
    <n v="1"/>
    <n v="0.98992805755395596"/>
  </r>
  <r>
    <x v="5"/>
    <x v="2"/>
    <x v="49"/>
    <n v="614934953"/>
    <n v="243228741"/>
    <n v="2587"/>
    <n v="695"/>
    <n v="2685"/>
    <n v="2560"/>
    <n v="109"/>
    <n v="3283"/>
    <n v="1836"/>
    <n v="5154"/>
    <n v="0.9"/>
    <n v="1"/>
    <n v="1"/>
    <n v="1"/>
    <n v="0.98848920863309298"/>
  </r>
  <r>
    <x v="5"/>
    <x v="3"/>
    <x v="50"/>
    <n v="608160369"/>
    <n v="236784175"/>
    <n v="3452"/>
    <n v="1000"/>
    <n v="3642"/>
    <n v="3513"/>
    <n v="94"/>
    <n v="3230"/>
    <n v="2037"/>
    <n v="5021"/>
    <n v="0.858273381294964"/>
    <n v="1"/>
    <n v="1"/>
    <n v="1"/>
    <n v="0.98489208633093495"/>
  </r>
  <r>
    <x v="5"/>
    <x v="4"/>
    <x v="51"/>
    <n v="610487602"/>
    <n v="237691934"/>
    <n v="4510"/>
    <n v="1209"/>
    <n v="4764"/>
    <n v="4442"/>
    <n v="116"/>
    <n v="3169"/>
    <n v="2272"/>
    <n v="4825"/>
    <n v="0.83093525179856098"/>
    <n v="1"/>
    <n v="1"/>
    <n v="1"/>
    <n v="0.98489208633093495"/>
  </r>
  <r>
    <x v="5"/>
    <x v="5"/>
    <x v="52"/>
    <n v="612148956"/>
    <n v="248707540"/>
    <n v="5440"/>
    <n v="1480"/>
    <n v="5569"/>
    <n v="5168"/>
    <n v="121"/>
    <n v="3098"/>
    <n v="2439"/>
    <n v="4724"/>
    <n v="0.79640287769784102"/>
    <n v="1"/>
    <n v="1"/>
    <n v="1"/>
    <n v="0.98057553956834498"/>
  </r>
  <r>
    <x v="5"/>
    <x v="6"/>
    <x v="53"/>
    <n v="615451054"/>
    <n v="256318752"/>
    <n v="5745"/>
    <n v="1682"/>
    <n v="5999"/>
    <n v="5592"/>
    <n v="136"/>
    <n v="3003"/>
    <n v="2743"/>
    <n v="4500"/>
    <n v="0.76978417266187005"/>
    <n v="1"/>
    <n v="1"/>
    <n v="1"/>
    <n v="0.97841726618705005"/>
  </r>
  <r>
    <x v="5"/>
    <x v="7"/>
    <x v="54"/>
    <n v="616471764"/>
    <n v="265862198"/>
    <n v="6069"/>
    <n v="1809"/>
    <n v="6085"/>
    <n v="5955"/>
    <n v="167"/>
    <n v="2894"/>
    <n v="2988"/>
    <n v="4333"/>
    <n v="0.738848920863309"/>
    <n v="1"/>
    <n v="1"/>
    <n v="1"/>
    <n v="0.977697841726618"/>
  </r>
  <r>
    <x v="5"/>
    <x v="8"/>
    <x v="55"/>
    <n v="614054294"/>
    <n v="247511582"/>
    <n v="6266"/>
    <n v="2069"/>
    <n v="6268"/>
    <n v="6150"/>
    <n v="194"/>
    <n v="2824"/>
    <n v="3160"/>
    <n v="4204"/>
    <n v="0.71223021582733803"/>
    <n v="1"/>
    <n v="1"/>
    <n v="1"/>
    <n v="0.97410071942445997"/>
  </r>
  <r>
    <x v="5"/>
    <x v="9"/>
    <x v="56"/>
    <n v="617019190"/>
    <n v="223334099"/>
    <n v="6330"/>
    <n v="2121"/>
    <n v="6195"/>
    <n v="6169"/>
    <n v="200"/>
    <n v="2739"/>
    <n v="3353"/>
    <n v="4090"/>
    <n v="0.69352517985611495"/>
    <n v="1"/>
    <n v="1"/>
    <n v="1"/>
    <n v="0.96978417266187"/>
  </r>
  <r>
    <x v="5"/>
    <x v="10"/>
    <x v="57"/>
    <n v="611840014"/>
    <n v="224100534"/>
    <n v="6256"/>
    <n v="2193"/>
    <n v="6112"/>
    <n v="6243"/>
    <n v="210"/>
    <n v="2652"/>
    <n v="3589"/>
    <n v="3931"/>
    <n v="0.66474820143884805"/>
    <n v="1"/>
    <n v="1"/>
    <n v="1"/>
    <n v="0.96906474820143795"/>
  </r>
  <r>
    <x v="6"/>
    <x v="0"/>
    <x v="0"/>
    <n v="616362962"/>
    <n v="169977435"/>
    <n v="916"/>
    <n v="352"/>
    <n v="890"/>
    <n v="1109"/>
    <n v="68"/>
    <n v="3558"/>
    <n v="1314"/>
    <n v="5442"/>
    <n v="0.93597122302158198"/>
    <n v="1"/>
    <n v="1"/>
    <n v="1"/>
    <n v="0.98992805755395596"/>
  </r>
  <r>
    <x v="6"/>
    <x v="1"/>
    <x v="1"/>
    <n v="616686296"/>
    <n v="211948891"/>
    <n v="1609"/>
    <n v="530"/>
    <n v="1695"/>
    <n v="1922"/>
    <n v="95"/>
    <n v="3390"/>
    <n v="1650"/>
    <n v="5247"/>
    <n v="0.93597122302158198"/>
    <n v="1"/>
    <n v="1"/>
    <n v="1"/>
    <n v="0.98992805755395596"/>
  </r>
  <r>
    <x v="6"/>
    <x v="2"/>
    <x v="58"/>
    <n v="612691813"/>
    <n v="217117997"/>
    <n v="2576"/>
    <n v="803"/>
    <n v="2473"/>
    <n v="2893"/>
    <n v="119"/>
    <n v="3298"/>
    <n v="1846"/>
    <n v="5119"/>
    <n v="0.89424460431654595"/>
    <n v="1"/>
    <n v="1"/>
    <n v="1"/>
    <n v="0.985611510791366"/>
  </r>
  <r>
    <x v="6"/>
    <x v="3"/>
    <x v="59"/>
    <n v="609989064"/>
    <n v="202140617"/>
    <n v="3916"/>
    <n v="1116"/>
    <n v="3625"/>
    <n v="3893"/>
    <n v="128"/>
    <n v="3279"/>
    <n v="1946"/>
    <n v="5029"/>
    <n v="0.86834532374100704"/>
    <n v="1"/>
    <n v="1"/>
    <n v="1"/>
    <n v="0.98345323741007196"/>
  </r>
  <r>
    <x v="6"/>
    <x v="4"/>
    <x v="60"/>
    <n v="611550823"/>
    <n v="198564944"/>
    <n v="4797"/>
    <n v="1306"/>
    <n v="4868"/>
    <n v="4874"/>
    <n v="142"/>
    <n v="3238"/>
    <n v="2151"/>
    <n v="4851"/>
    <n v="0.84172661870503596"/>
    <n v="1"/>
    <n v="1"/>
    <n v="1"/>
    <n v="0.98273381294964002"/>
  </r>
  <r>
    <x v="6"/>
    <x v="5"/>
    <x v="61"/>
    <n v="616726463"/>
    <n v="168657807"/>
    <n v="5695"/>
    <n v="1510"/>
    <n v="5694"/>
    <n v="5527"/>
    <n v="156"/>
    <n v="3197"/>
    <n v="2327"/>
    <n v="4702"/>
    <n v="0.81438848920863305"/>
    <n v="1"/>
    <n v="1"/>
    <n v="1"/>
    <n v="0.98129496402877703"/>
  </r>
  <r>
    <x v="6"/>
    <x v="6"/>
    <x v="62"/>
    <n v="618246902"/>
    <n v="157918285"/>
    <n v="6147"/>
    <n v="1839"/>
    <n v="6269"/>
    <n v="5953"/>
    <n v="181"/>
    <n v="3113"/>
    <n v="2524"/>
    <n v="4564"/>
    <n v="0.79208633093525105"/>
    <n v="1"/>
    <n v="1"/>
    <n v="1"/>
    <n v="0.97985611510791304"/>
  </r>
  <r>
    <x v="6"/>
    <x v="7"/>
    <x v="63"/>
    <n v="620375309"/>
    <n v="171810774"/>
    <n v="6357"/>
    <n v="2135"/>
    <n v="6372"/>
    <n v="6155"/>
    <n v="225"/>
    <n v="3047"/>
    <n v="2792"/>
    <n v="4318"/>
    <n v="0.76258992805755399"/>
    <n v="1"/>
    <n v="1"/>
    <n v="1"/>
    <n v="0.97841726618705005"/>
  </r>
  <r>
    <x v="6"/>
    <x v="8"/>
    <x v="64"/>
    <n v="623727086"/>
    <n v="176156095"/>
    <n v="6510"/>
    <n v="2363"/>
    <n v="6515"/>
    <n v="6424"/>
    <n v="252"/>
    <n v="2996"/>
    <n v="2925"/>
    <n v="4209"/>
    <n v="0.73237410071942399"/>
    <n v="1"/>
    <n v="1"/>
    <n v="1"/>
    <n v="0.97625899280575501"/>
  </r>
  <r>
    <x v="6"/>
    <x v="9"/>
    <x v="65"/>
    <n v="624191242"/>
    <n v="172012144"/>
    <n v="6599"/>
    <n v="2462"/>
    <n v="6529"/>
    <n v="6522"/>
    <n v="274"/>
    <n v="2966"/>
    <n v="3107"/>
    <n v="4035"/>
    <n v="0.71366906474820102"/>
    <n v="1"/>
    <n v="1"/>
    <n v="1"/>
    <n v="0.97482014388489202"/>
  </r>
  <r>
    <x v="6"/>
    <x v="10"/>
    <x v="66"/>
    <n v="627157418"/>
    <n v="186689146"/>
    <n v="6582"/>
    <n v="2591"/>
    <n v="6445"/>
    <n v="6427"/>
    <n v="274"/>
    <n v="2931"/>
    <n v="3301"/>
    <n v="3876"/>
    <n v="0.69136690647482002"/>
    <n v="1"/>
    <n v="1"/>
    <n v="1"/>
    <n v="0.97338129496402803"/>
  </r>
  <r>
    <x v="7"/>
    <x v="0"/>
    <x v="0"/>
    <n v="616362962"/>
    <n v="169977435"/>
    <n v="916"/>
    <n v="352"/>
    <n v="890"/>
    <n v="1109"/>
    <n v="68"/>
    <n v="3558"/>
    <n v="1314"/>
    <n v="5442"/>
    <n v="0.93597122302158198"/>
    <n v="1"/>
    <n v="1"/>
    <n v="1"/>
    <n v="0.98992805755395596"/>
  </r>
  <r>
    <x v="7"/>
    <x v="1"/>
    <x v="1"/>
    <n v="616686296"/>
    <n v="218444423"/>
    <n v="1825"/>
    <n v="572"/>
    <n v="1709"/>
    <n v="1846"/>
    <n v="82"/>
    <n v="3395"/>
    <n v="1647"/>
    <n v="5258"/>
    <n v="0.93597122302158198"/>
    <n v="1"/>
    <n v="1"/>
    <n v="1"/>
    <n v="0.98992805755395596"/>
  </r>
  <r>
    <x v="7"/>
    <x v="2"/>
    <x v="67"/>
    <n v="612176553"/>
    <n v="225985479"/>
    <n v="2727"/>
    <n v="782"/>
    <n v="2691"/>
    <n v="2795"/>
    <n v="113"/>
    <n v="3286"/>
    <n v="1922"/>
    <n v="5061"/>
    <n v="0.88920863309352505"/>
    <n v="1"/>
    <n v="1"/>
    <n v="1"/>
    <n v="0.98776978417266104"/>
  </r>
  <r>
    <x v="7"/>
    <x v="3"/>
    <x v="68"/>
    <n v="612062431"/>
    <n v="211506436"/>
    <n v="3844"/>
    <n v="979"/>
    <n v="3817"/>
    <n v="3804"/>
    <n v="123"/>
    <n v="3178"/>
    <n v="2148"/>
    <n v="4933"/>
    <n v="0.850359712230215"/>
    <n v="1"/>
    <n v="1"/>
    <n v="1"/>
    <n v="0.98633093525179805"/>
  </r>
  <r>
    <x v="7"/>
    <x v="4"/>
    <x v="69"/>
    <n v="610012762"/>
    <n v="190706182"/>
    <n v="4630"/>
    <n v="1357"/>
    <n v="5007"/>
    <n v="4597"/>
    <n v="144"/>
    <n v="3117"/>
    <n v="2361"/>
    <n v="4760"/>
    <n v="0.81942446043165396"/>
    <n v="1"/>
    <n v="1"/>
    <n v="1"/>
    <n v="0.98489208633093495"/>
  </r>
  <r>
    <x v="7"/>
    <x v="5"/>
    <x v="70"/>
    <n v="613175588"/>
    <n v="180034592"/>
    <n v="5283"/>
    <n v="1578"/>
    <n v="5708"/>
    <n v="5280"/>
    <n v="143"/>
    <n v="3044"/>
    <n v="2475"/>
    <n v="4720"/>
    <n v="0.79280575539568299"/>
    <n v="1"/>
    <n v="1"/>
    <n v="1"/>
    <n v="0.98273381294964002"/>
  </r>
  <r>
    <x v="7"/>
    <x v="6"/>
    <x v="71"/>
    <n v="614636339"/>
    <n v="196494553"/>
    <n v="5669"/>
    <n v="1814"/>
    <n v="6040"/>
    <n v="5775"/>
    <n v="168"/>
    <n v="2932"/>
    <n v="2805"/>
    <n v="4477"/>
    <n v="0.769064748201438"/>
    <n v="1"/>
    <n v="1"/>
    <n v="1"/>
    <n v="0.98201438848920797"/>
  </r>
  <r>
    <x v="7"/>
    <x v="7"/>
    <x v="72"/>
    <n v="611956959"/>
    <n v="202781018"/>
    <n v="5985"/>
    <n v="1982"/>
    <n v="6317"/>
    <n v="6303"/>
    <n v="175"/>
    <n v="2874"/>
    <n v="2939"/>
    <n v="4394"/>
    <n v="0.73381294964028698"/>
    <n v="1"/>
    <n v="1"/>
    <n v="1"/>
    <n v="0.97985611510791304"/>
  </r>
  <r>
    <x v="7"/>
    <x v="8"/>
    <x v="73"/>
    <n v="614157549"/>
    <n v="198023978"/>
    <n v="6249"/>
    <n v="2226"/>
    <n v="6337"/>
    <n v="6401"/>
    <n v="204"/>
    <n v="2840"/>
    <n v="3116"/>
    <n v="4222"/>
    <n v="0.71007194244604299"/>
    <n v="1"/>
    <n v="1"/>
    <n v="1"/>
    <n v="0.97841726618705005"/>
  </r>
  <r>
    <x v="7"/>
    <x v="9"/>
    <x v="74"/>
    <n v="617536393"/>
    <n v="210907955"/>
    <n v="6356"/>
    <n v="2298"/>
    <n v="6372"/>
    <n v="6404"/>
    <n v="222"/>
    <n v="2797"/>
    <n v="3260"/>
    <n v="4103"/>
    <n v="0.69136690647482002"/>
    <n v="1"/>
    <n v="1"/>
    <n v="1"/>
    <n v="0.97625899280575501"/>
  </r>
  <r>
    <x v="7"/>
    <x v="10"/>
    <x v="75"/>
    <n v="616091482"/>
    <n v="209039230"/>
    <n v="6330"/>
    <n v="2290"/>
    <n v="6298"/>
    <n v="6392"/>
    <n v="237"/>
    <n v="2682"/>
    <n v="3462"/>
    <n v="4001"/>
    <n v="0.66330935251798495"/>
    <n v="1"/>
    <n v="1"/>
    <n v="1"/>
    <n v="0.97266187050359698"/>
  </r>
  <r>
    <x v="8"/>
    <x v="0"/>
    <x v="0"/>
    <n v="616362962"/>
    <n v="169977435"/>
    <n v="916"/>
    <n v="352"/>
    <n v="890"/>
    <n v="1109"/>
    <n v="68"/>
    <n v="3558"/>
    <n v="1314"/>
    <n v="5442"/>
    <n v="0.93597122302158198"/>
    <n v="1"/>
    <n v="1"/>
    <n v="1"/>
    <n v="0.98992805755395596"/>
  </r>
  <r>
    <x v="8"/>
    <x v="1"/>
    <x v="1"/>
    <n v="616686296"/>
    <n v="221657683"/>
    <n v="1684"/>
    <n v="581"/>
    <n v="1711"/>
    <n v="1752"/>
    <n v="79"/>
    <n v="3423"/>
    <n v="1637"/>
    <n v="5243"/>
    <n v="0.93597122302158198"/>
    <n v="1"/>
    <n v="1"/>
    <n v="1"/>
    <n v="0.98992805755395596"/>
  </r>
  <r>
    <x v="8"/>
    <x v="2"/>
    <x v="76"/>
    <n v="614107965"/>
    <n v="213291477"/>
    <n v="2595"/>
    <n v="812"/>
    <n v="2591"/>
    <n v="2651"/>
    <n v="128"/>
    <n v="3348"/>
    <n v="1818"/>
    <n v="5088"/>
    <n v="0.888489208633093"/>
    <n v="1"/>
    <n v="1"/>
    <n v="1"/>
    <n v="0.98920863309352502"/>
  </r>
  <r>
    <x v="8"/>
    <x v="3"/>
    <x v="77"/>
    <n v="614347828"/>
    <n v="205950109"/>
    <n v="3704"/>
    <n v="1040"/>
    <n v="3817"/>
    <n v="3572"/>
    <n v="136"/>
    <n v="3317"/>
    <n v="1968"/>
    <n v="4961"/>
    <n v="0.866187050359712"/>
    <n v="1"/>
    <n v="1"/>
    <n v="1"/>
    <n v="0.985611510791366"/>
  </r>
  <r>
    <x v="8"/>
    <x v="4"/>
    <x v="78"/>
    <n v="616300441"/>
    <n v="185178698"/>
    <n v="4727"/>
    <n v="1392"/>
    <n v="4950"/>
    <n v="4612"/>
    <n v="132"/>
    <n v="3220"/>
    <n v="2157"/>
    <n v="4873"/>
    <n v="0.83669064748201405"/>
    <n v="1"/>
    <n v="1"/>
    <n v="1"/>
    <n v="0.98417266187050301"/>
  </r>
  <r>
    <x v="8"/>
    <x v="5"/>
    <x v="79"/>
    <n v="619258188"/>
    <n v="183712297"/>
    <n v="5473"/>
    <n v="1648"/>
    <n v="5611"/>
    <n v="5490"/>
    <n v="174"/>
    <n v="3192"/>
    <n v="2361"/>
    <n v="4655"/>
    <n v="0.805755395683453"/>
    <n v="1"/>
    <n v="1"/>
    <n v="1"/>
    <n v="0.98417266187050301"/>
  </r>
  <r>
    <x v="8"/>
    <x v="6"/>
    <x v="80"/>
    <n v="618980786"/>
    <n v="183805143"/>
    <n v="6067"/>
    <n v="1869"/>
    <n v="6190"/>
    <n v="6063"/>
    <n v="189"/>
    <n v="3124"/>
    <n v="2509"/>
    <n v="4560"/>
    <n v="0.77841726618704998"/>
    <n v="1"/>
    <n v="1"/>
    <n v="1"/>
    <n v="0.98129496402877703"/>
  </r>
  <r>
    <x v="8"/>
    <x v="7"/>
    <x v="81"/>
    <n v="621946100"/>
    <n v="184277590"/>
    <n v="6323"/>
    <n v="2088"/>
    <n v="6440"/>
    <n v="6285"/>
    <n v="199"/>
    <n v="3067"/>
    <n v="2749"/>
    <n v="4367"/>
    <n v="0.75827338129496402"/>
    <n v="1"/>
    <n v="1"/>
    <n v="1"/>
    <n v="0.97841726618705005"/>
  </r>
  <r>
    <x v="8"/>
    <x v="8"/>
    <x v="82"/>
    <n v="623067016"/>
    <n v="189308913"/>
    <n v="6429"/>
    <n v="2286"/>
    <n v="6472"/>
    <n v="6450"/>
    <n v="234"/>
    <n v="2971"/>
    <n v="2981"/>
    <n v="4196"/>
    <n v="0.72661870503597104"/>
    <n v="1"/>
    <n v="1"/>
    <n v="1"/>
    <n v="0.97625899280575501"/>
  </r>
  <r>
    <x v="8"/>
    <x v="9"/>
    <x v="83"/>
    <n v="622780120"/>
    <n v="198946387"/>
    <n v="6523"/>
    <n v="2385"/>
    <n v="6514"/>
    <n v="6525"/>
    <n v="256"/>
    <n v="2902"/>
    <n v="3138"/>
    <n v="4086"/>
    <n v="0.702158273381295"/>
    <n v="1"/>
    <n v="1"/>
    <n v="1"/>
    <n v="0.97194244604316504"/>
  </r>
  <r>
    <x v="8"/>
    <x v="10"/>
    <x v="84"/>
    <n v="621846165"/>
    <n v="186712946"/>
    <n v="6407"/>
    <n v="2407"/>
    <n v="6381"/>
    <n v="6479"/>
    <n v="250"/>
    <n v="2828"/>
    <n v="3367"/>
    <n v="3937"/>
    <n v="0.67769784172661796"/>
    <n v="1"/>
    <n v="1"/>
    <n v="1"/>
    <n v="0.97194244604316504"/>
  </r>
  <r>
    <x v="9"/>
    <x v="0"/>
    <x v="0"/>
    <n v="616362962"/>
    <n v="169977435"/>
    <n v="916"/>
    <n v="352"/>
    <n v="890"/>
    <n v="1109"/>
    <n v="68"/>
    <n v="3558"/>
    <n v="1314"/>
    <n v="5442"/>
    <n v="0.93597122302158198"/>
    <n v="1"/>
    <n v="1"/>
    <n v="1"/>
    <n v="0.98992805755395596"/>
  </r>
  <r>
    <x v="9"/>
    <x v="1"/>
    <x v="1"/>
    <n v="616686296"/>
    <n v="218964267"/>
    <n v="1700"/>
    <n v="609"/>
    <n v="1587"/>
    <n v="1779"/>
    <n v="88"/>
    <n v="3423"/>
    <n v="1617"/>
    <n v="5254"/>
    <n v="0.93597122302158198"/>
    <n v="1"/>
    <n v="1"/>
    <n v="1"/>
    <n v="0.98992805755395596"/>
  </r>
  <r>
    <x v="9"/>
    <x v="2"/>
    <x v="85"/>
    <n v="612546310"/>
    <n v="225153254"/>
    <n v="2523"/>
    <n v="845"/>
    <n v="2616"/>
    <n v="2672"/>
    <n v="95"/>
    <n v="3343"/>
    <n v="1866"/>
    <n v="5078"/>
    <n v="0.894964028776978"/>
    <n v="1"/>
    <n v="1"/>
    <n v="1"/>
    <n v="0.98776978417266104"/>
  </r>
  <r>
    <x v="9"/>
    <x v="3"/>
    <x v="86"/>
    <n v="614079623"/>
    <n v="223569705"/>
    <n v="3638"/>
    <n v="1092"/>
    <n v="3670"/>
    <n v="3750"/>
    <n v="116"/>
    <n v="3261"/>
    <n v="2042"/>
    <n v="4963"/>
    <n v="0.858273381294964"/>
    <n v="1"/>
    <n v="1"/>
    <n v="1"/>
    <n v="0.98633093525179805"/>
  </r>
  <r>
    <x v="9"/>
    <x v="4"/>
    <x v="87"/>
    <n v="614108857"/>
    <n v="202776195"/>
    <n v="4642"/>
    <n v="1400"/>
    <n v="4772"/>
    <n v="4693"/>
    <n v="147"/>
    <n v="3186"/>
    <n v="2208"/>
    <n v="4841"/>
    <n v="0.83093525179856098"/>
    <n v="1"/>
    <n v="1"/>
    <n v="1"/>
    <n v="0.985611510791366"/>
  </r>
  <r>
    <x v="9"/>
    <x v="5"/>
    <x v="88"/>
    <n v="612956298"/>
    <n v="170076925"/>
    <n v="5525"/>
    <n v="1647"/>
    <n v="5812"/>
    <n v="5473"/>
    <n v="154"/>
    <n v="3124"/>
    <n v="2356"/>
    <n v="4748"/>
    <n v="0.80503597122302095"/>
    <n v="1"/>
    <n v="1"/>
    <n v="1"/>
    <n v="0.98201438848920797"/>
  </r>
  <r>
    <x v="9"/>
    <x v="6"/>
    <x v="89"/>
    <n v="612624681"/>
    <n v="173506753"/>
    <n v="6089"/>
    <n v="1861"/>
    <n v="6269"/>
    <n v="6103"/>
    <n v="167"/>
    <n v="3061"/>
    <n v="2488"/>
    <n v="4666"/>
    <n v="0.783453237410071"/>
    <n v="1"/>
    <n v="1"/>
    <n v="1"/>
    <n v="0.98057553956834498"/>
  </r>
  <r>
    <x v="9"/>
    <x v="7"/>
    <x v="90"/>
    <n v="613189710"/>
    <n v="170759428"/>
    <n v="6392"/>
    <n v="2048"/>
    <n v="6433"/>
    <n v="6392"/>
    <n v="184"/>
    <n v="3014"/>
    <n v="2663"/>
    <n v="4521"/>
    <n v="0.76115107913669"/>
    <n v="1"/>
    <n v="1"/>
    <n v="1"/>
    <n v="0.98057553956834498"/>
  </r>
  <r>
    <x v="9"/>
    <x v="8"/>
    <x v="91"/>
    <n v="615424014"/>
    <n v="180115926"/>
    <n v="6531"/>
    <n v="2260"/>
    <n v="6681"/>
    <n v="6559"/>
    <n v="186"/>
    <n v="2940"/>
    <n v="2868"/>
    <n v="4388"/>
    <n v="0.72877697841726596"/>
    <n v="1"/>
    <n v="1"/>
    <n v="1"/>
    <n v="0.97985611510791304"/>
  </r>
  <r>
    <x v="9"/>
    <x v="9"/>
    <x v="92"/>
    <n v="616648974"/>
    <n v="186383426"/>
    <n v="6546"/>
    <n v="2295"/>
    <n v="6660"/>
    <n v="6638"/>
    <n v="221"/>
    <n v="2838"/>
    <n v="3088"/>
    <n v="4235"/>
    <n v="0.7"/>
    <n v="1"/>
    <n v="1"/>
    <n v="1"/>
    <n v="0.97913669064748199"/>
  </r>
  <r>
    <x v="9"/>
    <x v="10"/>
    <x v="93"/>
    <n v="614526337"/>
    <n v="192230628"/>
    <n v="6641"/>
    <n v="2415"/>
    <n v="6617"/>
    <n v="6619"/>
    <n v="230"/>
    <n v="2834"/>
    <n v="3194"/>
    <n v="4124"/>
    <n v="0.67913669064748206"/>
    <n v="1"/>
    <n v="1"/>
    <n v="1"/>
    <n v="0.97553956834532296"/>
  </r>
  <r>
    <x v="10"/>
    <x v="0"/>
    <x v="0"/>
    <n v="616362962"/>
    <n v="169977435"/>
    <n v="916"/>
    <n v="352"/>
    <n v="890"/>
    <n v="1109"/>
    <n v="68"/>
    <n v="3558"/>
    <n v="1314"/>
    <n v="5442"/>
    <n v="0.93597122302158198"/>
    <n v="1"/>
    <n v="1"/>
    <n v="1"/>
    <n v="0.98992805755395596"/>
  </r>
  <r>
    <x v="10"/>
    <x v="1"/>
    <x v="1"/>
    <n v="616686296"/>
    <n v="220889489"/>
    <n v="1473"/>
    <n v="538"/>
    <n v="1547"/>
    <n v="1749"/>
    <n v="78"/>
    <n v="3444"/>
    <n v="1568"/>
    <n v="5292"/>
    <n v="0.93597122302158198"/>
    <n v="1"/>
    <n v="1"/>
    <n v="1"/>
    <n v="0.98992805755395596"/>
  </r>
  <r>
    <x v="10"/>
    <x v="2"/>
    <x v="94"/>
    <n v="615091878"/>
    <n v="222179892"/>
    <n v="2004"/>
    <n v="658"/>
    <n v="2203"/>
    <n v="2343"/>
    <n v="74"/>
    <n v="3292"/>
    <n v="1917"/>
    <n v="5099"/>
    <n v="0.89856115107913603"/>
    <n v="1"/>
    <n v="1"/>
    <n v="1"/>
    <n v="0.98776978417266104"/>
  </r>
  <r>
    <x v="10"/>
    <x v="3"/>
    <x v="95"/>
    <n v="611578479"/>
    <n v="198549497"/>
    <n v="2763"/>
    <n v="797"/>
    <n v="2969"/>
    <n v="3067"/>
    <n v="92"/>
    <n v="3243"/>
    <n v="2076"/>
    <n v="4971"/>
    <n v="0.85179856115107899"/>
    <n v="1"/>
    <n v="1"/>
    <n v="1"/>
    <n v="0.98848920863309298"/>
  </r>
  <r>
    <x v="10"/>
    <x v="4"/>
    <x v="96"/>
    <n v="613604893"/>
    <n v="182823516"/>
    <n v="3682"/>
    <n v="995"/>
    <n v="3624"/>
    <n v="3615"/>
    <n v="138"/>
    <n v="3149"/>
    <n v="2219"/>
    <n v="4876"/>
    <n v="0.82661870503597101"/>
    <n v="1"/>
    <n v="1"/>
    <n v="1"/>
    <n v="0.985611510791366"/>
  </r>
  <r>
    <x v="10"/>
    <x v="5"/>
    <x v="97"/>
    <n v="610152537"/>
    <n v="181102447"/>
    <n v="4325"/>
    <n v="1277"/>
    <n v="4322"/>
    <n v="4188"/>
    <n v="158"/>
    <n v="3038"/>
    <n v="2381"/>
    <n v="4805"/>
    <n v="0.8"/>
    <n v="1"/>
    <n v="1"/>
    <n v="1"/>
    <n v="0.98345323741007196"/>
  </r>
  <r>
    <x v="10"/>
    <x v="6"/>
    <x v="98"/>
    <n v="608484965"/>
    <n v="195594761"/>
    <n v="4763"/>
    <n v="1440"/>
    <n v="4839"/>
    <n v="4631"/>
    <n v="169"/>
    <n v="2966"/>
    <n v="2551"/>
    <n v="4696"/>
    <n v="0.77913669064748203"/>
    <n v="1"/>
    <n v="1"/>
    <n v="1"/>
    <n v="0.97913669064748199"/>
  </r>
  <r>
    <x v="10"/>
    <x v="7"/>
    <x v="99"/>
    <n v="606481935"/>
    <n v="184523577"/>
    <n v="5097"/>
    <n v="1527"/>
    <n v="5170"/>
    <n v="5004"/>
    <n v="172"/>
    <n v="2883"/>
    <n v="2760"/>
    <n v="4567"/>
    <n v="0.75683453237410003"/>
    <n v="1"/>
    <n v="1"/>
    <n v="1"/>
    <n v="0.977697841726618"/>
  </r>
  <r>
    <x v="10"/>
    <x v="8"/>
    <x v="100"/>
    <n v="608372132"/>
    <n v="191009290"/>
    <n v="5282"/>
    <n v="1693"/>
    <n v="5350"/>
    <n v="5215"/>
    <n v="171"/>
    <n v="2828"/>
    <n v="3043"/>
    <n v="4340"/>
    <n v="0.72805755395683402"/>
    <n v="1"/>
    <n v="1"/>
    <n v="1"/>
    <n v="0.97697841726618695"/>
  </r>
  <r>
    <x v="10"/>
    <x v="9"/>
    <x v="101"/>
    <n v="612655076"/>
    <n v="200995136"/>
    <n v="5387"/>
    <n v="1869"/>
    <n v="5549"/>
    <n v="5432"/>
    <n v="191"/>
    <n v="2783"/>
    <n v="3225"/>
    <n v="4183"/>
    <n v="0.70071942446043101"/>
    <n v="1"/>
    <n v="1"/>
    <n v="1"/>
    <n v="0.97625899280575501"/>
  </r>
  <r>
    <x v="10"/>
    <x v="10"/>
    <x v="102"/>
    <n v="613960907"/>
    <n v="205081879"/>
    <n v="5559"/>
    <n v="1954"/>
    <n v="5634"/>
    <n v="5518"/>
    <n v="195"/>
    <n v="2770"/>
    <n v="3433"/>
    <n v="3984"/>
    <n v="0.67769784172661796"/>
    <n v="1"/>
    <n v="1"/>
    <n v="1"/>
    <n v="0.97625899280575501"/>
  </r>
  <r>
    <x v="11"/>
    <x v="0"/>
    <x v="0"/>
    <n v="616362962"/>
    <n v="169977435"/>
    <n v="916"/>
    <n v="352"/>
    <n v="890"/>
    <n v="1109"/>
    <n v="68"/>
    <n v="3558"/>
    <n v="1314"/>
    <n v="5442"/>
    <n v="0.93597122302158198"/>
    <n v="1"/>
    <n v="1"/>
    <n v="1"/>
    <n v="0.98992805755395596"/>
  </r>
  <r>
    <x v="11"/>
    <x v="1"/>
    <x v="1"/>
    <n v="616686296"/>
    <n v="219563805"/>
    <n v="1977"/>
    <n v="600"/>
    <n v="1989"/>
    <n v="1950"/>
    <n v="68"/>
    <n v="3445"/>
    <n v="1543"/>
    <n v="5326"/>
    <n v="0.93597122302158198"/>
    <n v="1"/>
    <n v="1"/>
    <n v="1"/>
    <n v="0.98992805755395596"/>
  </r>
  <r>
    <x v="11"/>
    <x v="2"/>
    <x v="103"/>
    <n v="613602178"/>
    <n v="224526235"/>
    <n v="3115"/>
    <n v="931"/>
    <n v="3167"/>
    <n v="3215"/>
    <n v="85"/>
    <n v="3295"/>
    <n v="1828"/>
    <n v="5174"/>
    <n v="0.89928057553956797"/>
    <n v="1"/>
    <n v="1"/>
    <n v="1"/>
    <n v="0.98920863309352502"/>
  </r>
  <r>
    <x v="11"/>
    <x v="3"/>
    <x v="104"/>
    <n v="611619074"/>
    <n v="194979046"/>
    <n v="4611"/>
    <n v="1171"/>
    <n v="4660"/>
    <n v="4425"/>
    <n v="137"/>
    <n v="3218"/>
    <n v="2018"/>
    <n v="5009"/>
    <n v="0.86043165467625904"/>
    <n v="1"/>
    <n v="1"/>
    <n v="1"/>
    <n v="0.98633093525179805"/>
  </r>
  <r>
    <x v="11"/>
    <x v="4"/>
    <x v="105"/>
    <n v="610793581"/>
    <n v="170879720"/>
    <n v="5754"/>
    <n v="1546"/>
    <n v="5916"/>
    <n v="5699"/>
    <n v="133"/>
    <n v="3150"/>
    <n v="2126"/>
    <n v="4973"/>
    <n v="0.83381294964028696"/>
    <n v="1"/>
    <n v="1"/>
    <n v="1"/>
    <n v="0.98273381294964002"/>
  </r>
  <r>
    <x v="11"/>
    <x v="5"/>
    <x v="106"/>
    <n v="609241377"/>
    <n v="171896769"/>
    <n v="6555"/>
    <n v="1968"/>
    <n v="6505"/>
    <n v="6452"/>
    <n v="142"/>
    <n v="3100"/>
    <n v="2284"/>
    <n v="4856"/>
    <n v="0.80863309352517898"/>
    <n v="1"/>
    <n v="1"/>
    <n v="1"/>
    <n v="0.98201438848920797"/>
  </r>
  <r>
    <x v="11"/>
    <x v="6"/>
    <x v="107"/>
    <n v="611336062"/>
    <n v="189491782"/>
    <n v="6830"/>
    <n v="2307"/>
    <n v="6760"/>
    <n v="6727"/>
    <n v="150"/>
    <n v="3034"/>
    <n v="2531"/>
    <n v="4667"/>
    <n v="0.78633093525179798"/>
    <n v="1"/>
    <n v="1"/>
    <n v="1"/>
    <n v="0.97985611510791304"/>
  </r>
  <r>
    <x v="11"/>
    <x v="7"/>
    <x v="108"/>
    <n v="614929318"/>
    <n v="174728353"/>
    <n v="7070"/>
    <n v="2539"/>
    <n v="6952"/>
    <n v="6964"/>
    <n v="220"/>
    <n v="2965"/>
    <n v="2700"/>
    <n v="4497"/>
    <n v="0.75971223021582701"/>
    <n v="1"/>
    <n v="1"/>
    <n v="1"/>
    <n v="0.97625899280575501"/>
  </r>
  <r>
    <x v="11"/>
    <x v="8"/>
    <x v="109"/>
    <n v="615807920"/>
    <n v="165517258"/>
    <n v="7120"/>
    <n v="2649"/>
    <n v="6988"/>
    <n v="7080"/>
    <n v="240"/>
    <n v="2928"/>
    <n v="2844"/>
    <n v="4370"/>
    <n v="0.73669064748201396"/>
    <n v="1"/>
    <n v="1"/>
    <n v="1"/>
    <n v="0.97410071942445997"/>
  </r>
  <r>
    <x v="11"/>
    <x v="9"/>
    <x v="110"/>
    <n v="616219364"/>
    <n v="200242203"/>
    <n v="7057"/>
    <n v="2646"/>
    <n v="6828"/>
    <n v="7057"/>
    <n v="249"/>
    <n v="2868"/>
    <n v="3053"/>
    <n v="4212"/>
    <n v="0.71510791366906401"/>
    <n v="1"/>
    <n v="1"/>
    <n v="1"/>
    <n v="0.97122302158273299"/>
  </r>
  <r>
    <x v="11"/>
    <x v="10"/>
    <x v="111"/>
    <n v="619905869"/>
    <n v="204631299"/>
    <n v="6915"/>
    <n v="2623"/>
    <n v="6682"/>
    <n v="6884"/>
    <n v="281"/>
    <n v="2783"/>
    <n v="3213"/>
    <n v="4105"/>
    <n v="0.69208633093525096"/>
    <n v="1"/>
    <n v="1"/>
    <n v="1"/>
    <n v="0.97050359712230205"/>
  </r>
  <r>
    <x v="12"/>
    <x v="0"/>
    <x v="0"/>
    <n v="616362962"/>
    <n v="169977435"/>
    <n v="916"/>
    <n v="352"/>
    <n v="890"/>
    <n v="1109"/>
    <n v="68"/>
    <n v="3558"/>
    <n v="1314"/>
    <n v="5442"/>
    <n v="0.93597122302158198"/>
    <n v="1"/>
    <n v="1"/>
    <n v="1"/>
    <n v="0.98992805755395596"/>
  </r>
  <r>
    <x v="12"/>
    <x v="1"/>
    <x v="1"/>
    <n v="616686296"/>
    <n v="215434806"/>
    <n v="1991"/>
    <n v="664"/>
    <n v="1869"/>
    <n v="2134"/>
    <n v="83"/>
    <n v="3453"/>
    <n v="1667"/>
    <n v="5179"/>
    <n v="0.93597122302158198"/>
    <n v="1"/>
    <n v="1"/>
    <n v="1"/>
    <n v="0.98992805755395596"/>
  </r>
  <r>
    <x v="12"/>
    <x v="2"/>
    <x v="112"/>
    <n v="619014299"/>
    <n v="249582328"/>
    <n v="3317"/>
    <n v="1056"/>
    <n v="3150"/>
    <n v="3641"/>
    <n v="84"/>
    <n v="3377"/>
    <n v="1868"/>
    <n v="5053"/>
    <n v="0.88920863309352505"/>
    <n v="1"/>
    <n v="1"/>
    <n v="1"/>
    <n v="0.98848920863309298"/>
  </r>
  <r>
    <x v="12"/>
    <x v="3"/>
    <x v="113"/>
    <n v="618037707"/>
    <n v="214400124"/>
    <n v="5109"/>
    <n v="1388"/>
    <n v="4764"/>
    <n v="4910"/>
    <n v="104"/>
    <n v="3321"/>
    <n v="2058"/>
    <n v="4899"/>
    <n v="0.85251798561151004"/>
    <n v="1"/>
    <n v="1"/>
    <n v="1"/>
    <n v="0.98848920863309298"/>
  </r>
  <r>
    <x v="12"/>
    <x v="4"/>
    <x v="114"/>
    <n v="621069416"/>
    <n v="182873442"/>
    <n v="6427"/>
    <n v="1876"/>
    <n v="6257"/>
    <n v="5993"/>
    <n v="126"/>
    <n v="3250"/>
    <n v="2202"/>
    <n v="4804"/>
    <n v="0.82086330935251794"/>
    <n v="1"/>
    <n v="1"/>
    <n v="1"/>
    <n v="0.98633093525179805"/>
  </r>
  <r>
    <x v="12"/>
    <x v="5"/>
    <x v="115"/>
    <n v="620856457"/>
    <n v="190234015"/>
    <n v="7054"/>
    <n v="2375"/>
    <n v="6920"/>
    <n v="6840"/>
    <n v="146"/>
    <n v="3186"/>
    <n v="2398"/>
    <n v="4652"/>
    <n v="0.797841726618705"/>
    <n v="1"/>
    <n v="1"/>
    <n v="1"/>
    <n v="0.985611510791366"/>
  </r>
  <r>
    <x v="12"/>
    <x v="6"/>
    <x v="116"/>
    <n v="621580206"/>
    <n v="185788181"/>
    <n v="7204"/>
    <n v="2596"/>
    <n v="7133"/>
    <n v="7082"/>
    <n v="164"/>
    <n v="3054"/>
    <n v="2679"/>
    <n v="4485"/>
    <n v="0.76690647482014296"/>
    <n v="1"/>
    <n v="1"/>
    <n v="1"/>
    <n v="0.98489208633093495"/>
  </r>
  <r>
    <x v="12"/>
    <x v="7"/>
    <x v="117"/>
    <n v="620226467"/>
    <n v="213421224"/>
    <n v="7154"/>
    <n v="2781"/>
    <n v="7077"/>
    <n v="7088"/>
    <n v="200"/>
    <n v="2997"/>
    <n v="2883"/>
    <n v="4302"/>
    <n v="0.73741007194244601"/>
    <n v="1"/>
    <n v="1"/>
    <n v="1"/>
    <n v="0.97985611510791304"/>
  </r>
  <r>
    <x v="12"/>
    <x v="8"/>
    <x v="118"/>
    <n v="619555292"/>
    <n v="215162812"/>
    <n v="7142"/>
    <n v="2801"/>
    <n v="7016"/>
    <n v="7081"/>
    <n v="210"/>
    <n v="2914"/>
    <n v="3034"/>
    <n v="4224"/>
    <n v="0.70935251798561105"/>
    <n v="1"/>
    <n v="1"/>
    <n v="1"/>
    <n v="0.977697841726618"/>
  </r>
  <r>
    <x v="12"/>
    <x v="9"/>
    <x v="119"/>
    <n v="619216393"/>
    <n v="210532370"/>
    <n v="6999"/>
    <n v="2753"/>
    <n v="6831"/>
    <n v="6945"/>
    <n v="216"/>
    <n v="2828"/>
    <n v="3248"/>
    <n v="4090"/>
    <n v="0.68920863309352498"/>
    <n v="1"/>
    <n v="1"/>
    <n v="1"/>
    <n v="0.97625899280575501"/>
  </r>
  <r>
    <x v="12"/>
    <x v="10"/>
    <x v="120"/>
    <n v="616747581"/>
    <n v="211008386"/>
    <n v="6878"/>
    <n v="2700"/>
    <n v="6705"/>
    <n v="6857"/>
    <n v="214"/>
    <n v="2756"/>
    <n v="3379"/>
    <n v="4033"/>
    <n v="0.65755395683453199"/>
    <n v="1"/>
    <n v="1"/>
    <n v="1"/>
    <n v="0.97841726618705005"/>
  </r>
  <r>
    <x v="13"/>
    <x v="0"/>
    <x v="0"/>
    <n v="616362962"/>
    <n v="169977435"/>
    <n v="916"/>
    <n v="352"/>
    <n v="890"/>
    <n v="1109"/>
    <n v="68"/>
    <n v="3558"/>
    <n v="1314"/>
    <n v="5442"/>
    <n v="0.93597122302158198"/>
    <n v="1"/>
    <n v="1"/>
    <n v="1"/>
    <n v="0.98992805755395596"/>
  </r>
  <r>
    <x v="13"/>
    <x v="1"/>
    <x v="1"/>
    <n v="616686296"/>
    <n v="218771060"/>
    <n v="2076"/>
    <n v="632"/>
    <n v="2104"/>
    <n v="1949"/>
    <n v="81"/>
    <n v="3448"/>
    <n v="1734"/>
    <n v="5119"/>
    <n v="0.93597122302158198"/>
    <n v="1"/>
    <n v="1"/>
    <n v="1"/>
    <n v="0.98992805755395596"/>
  </r>
  <r>
    <x v="13"/>
    <x v="2"/>
    <x v="121"/>
    <n v="622337958"/>
    <n v="225022384"/>
    <n v="3537"/>
    <n v="981"/>
    <n v="3650"/>
    <n v="3178"/>
    <n v="95"/>
    <n v="3311"/>
    <n v="1989"/>
    <n v="4987"/>
    <n v="0.894964028776978"/>
    <n v="1"/>
    <n v="1"/>
    <n v="1"/>
    <n v="0.98776978417266104"/>
  </r>
  <r>
    <x v="13"/>
    <x v="3"/>
    <x v="122"/>
    <n v="621741855"/>
    <n v="197643563"/>
    <n v="5050"/>
    <n v="1320"/>
    <n v="5130"/>
    <n v="4768"/>
    <n v="139"/>
    <n v="3231"/>
    <n v="2225"/>
    <n v="4787"/>
    <n v="0.85899280575539505"/>
    <n v="1"/>
    <n v="1"/>
    <n v="1"/>
    <n v="0.985611510791366"/>
  </r>
  <r>
    <x v="13"/>
    <x v="4"/>
    <x v="123"/>
    <n v="621982254"/>
    <n v="193345129"/>
    <n v="6028"/>
    <n v="1828"/>
    <n v="6207"/>
    <n v="6014"/>
    <n v="160"/>
    <n v="3154"/>
    <n v="2457"/>
    <n v="4611"/>
    <n v="0.82374100719424403"/>
    <n v="1"/>
    <n v="1"/>
    <n v="1"/>
    <n v="0.98129496402877703"/>
  </r>
  <r>
    <x v="13"/>
    <x v="5"/>
    <x v="124"/>
    <n v="625879304"/>
    <n v="176775174"/>
    <n v="6719"/>
    <n v="2371"/>
    <n v="6790"/>
    <n v="6603"/>
    <n v="166"/>
    <n v="3144"/>
    <n v="2650"/>
    <n v="4422"/>
    <n v="0.79424460431654598"/>
    <n v="1"/>
    <n v="1"/>
    <n v="1"/>
    <n v="0.98057553956834498"/>
  </r>
  <r>
    <x v="13"/>
    <x v="6"/>
    <x v="125"/>
    <n v="630513281"/>
    <n v="193319586"/>
    <n v="6958"/>
    <n v="2643"/>
    <n v="6955"/>
    <n v="6804"/>
    <n v="179"/>
    <n v="3113"/>
    <n v="2822"/>
    <n v="4268"/>
    <n v="0.769064748201438"/>
    <n v="1"/>
    <n v="1"/>
    <n v="1"/>
    <n v="0.97913669064748199"/>
  </r>
  <r>
    <x v="13"/>
    <x v="7"/>
    <x v="126"/>
    <n v="638042034"/>
    <n v="192079180"/>
    <n v="6913"/>
    <n v="2775"/>
    <n v="6825"/>
    <n v="6842"/>
    <n v="191"/>
    <n v="3001"/>
    <n v="3136"/>
    <n v="4054"/>
    <n v="0.74460431654676196"/>
    <n v="1"/>
    <n v="1"/>
    <n v="1"/>
    <n v="0.97841726618705005"/>
  </r>
  <r>
    <x v="13"/>
    <x v="8"/>
    <x v="127"/>
    <n v="634361646"/>
    <n v="204437939"/>
    <n v="6849"/>
    <n v="2802"/>
    <n v="6755"/>
    <n v="6829"/>
    <n v="201"/>
    <n v="2933"/>
    <n v="3295"/>
    <n v="3953"/>
    <n v="0.71726618705035905"/>
    <n v="1"/>
    <n v="1"/>
    <n v="1"/>
    <n v="0.97625899280575501"/>
  </r>
  <r>
    <x v="13"/>
    <x v="9"/>
    <x v="128"/>
    <n v="634122280"/>
    <n v="204414921"/>
    <n v="6770"/>
    <n v="2803"/>
    <n v="6608"/>
    <n v="6711"/>
    <n v="215"/>
    <n v="2881"/>
    <n v="3458"/>
    <n v="3828"/>
    <n v="0.69568345323740999"/>
    <n v="1"/>
    <n v="1"/>
    <n v="1"/>
    <n v="0.97553956834532296"/>
  </r>
  <r>
    <x v="13"/>
    <x v="10"/>
    <x v="129"/>
    <n v="633013032"/>
    <n v="201281519"/>
    <n v="6635"/>
    <n v="2764"/>
    <n v="6457"/>
    <n v="6598"/>
    <n v="230"/>
    <n v="2856"/>
    <n v="3602"/>
    <n v="3694"/>
    <n v="0.67985611510791299"/>
    <n v="1"/>
    <n v="1"/>
    <n v="1"/>
    <n v="0.97338129496402803"/>
  </r>
  <r>
    <x v="14"/>
    <x v="11"/>
    <x v="130"/>
    <m/>
    <m/>
    <m/>
    <m/>
    <m/>
    <m/>
    <m/>
    <m/>
    <m/>
    <m/>
    <m/>
    <m/>
    <m/>
    <m/>
    <m/>
  </r>
  <r>
    <x v="14"/>
    <x v="11"/>
    <x v="130"/>
    <m/>
    <m/>
    <m/>
    <m/>
    <m/>
    <m/>
    <m/>
    <m/>
    <m/>
    <m/>
    <m/>
    <m/>
    <m/>
    <m/>
    <m/>
  </r>
  <r>
    <x v="14"/>
    <x v="11"/>
    <x v="130"/>
    <m/>
    <m/>
    <m/>
    <m/>
    <m/>
    <m/>
    <m/>
    <m/>
    <m/>
    <m/>
    <m/>
    <m/>
    <m/>
    <m/>
    <m/>
  </r>
  <r>
    <x v="14"/>
    <x v="11"/>
    <x v="130"/>
    <m/>
    <m/>
    <m/>
    <m/>
    <m/>
    <m/>
    <m/>
    <m/>
    <m/>
    <m/>
    <m/>
    <m/>
    <m/>
    <m/>
    <m/>
  </r>
  <r>
    <x v="14"/>
    <x v="11"/>
    <x v="130"/>
    <m/>
    <m/>
    <m/>
    <m/>
    <m/>
    <m/>
    <m/>
    <m/>
    <m/>
    <m/>
    <m/>
    <m/>
    <m/>
    <m/>
    <m/>
  </r>
  <r>
    <x v="14"/>
    <x v="11"/>
    <x v="130"/>
    <m/>
    <m/>
    <m/>
    <m/>
    <m/>
    <m/>
    <m/>
    <m/>
    <m/>
    <m/>
    <m/>
    <m/>
    <m/>
    <m/>
    <m/>
  </r>
  <r>
    <x v="14"/>
    <x v="11"/>
    <x v="130"/>
    <m/>
    <m/>
    <m/>
    <m/>
    <m/>
    <m/>
    <m/>
    <m/>
    <m/>
    <m/>
    <m/>
    <m/>
    <m/>
    <m/>
    <m/>
  </r>
  <r>
    <x v="14"/>
    <x v="11"/>
    <x v="130"/>
    <m/>
    <m/>
    <m/>
    <m/>
    <m/>
    <m/>
    <m/>
    <m/>
    <m/>
    <m/>
    <m/>
    <m/>
    <m/>
    <m/>
    <m/>
  </r>
  <r>
    <x v="14"/>
    <x v="11"/>
    <x v="130"/>
    <m/>
    <m/>
    <m/>
    <m/>
    <m/>
    <m/>
    <m/>
    <m/>
    <m/>
    <m/>
    <m/>
    <m/>
    <m/>
    <m/>
    <m/>
  </r>
  <r>
    <x v="14"/>
    <x v="11"/>
    <x v="130"/>
    <m/>
    <m/>
    <m/>
    <m/>
    <m/>
    <m/>
    <m/>
    <m/>
    <m/>
    <m/>
    <m/>
    <m/>
    <m/>
    <m/>
    <m/>
  </r>
  <r>
    <x v="14"/>
    <x v="11"/>
    <x v="130"/>
    <m/>
    <m/>
    <m/>
    <m/>
    <m/>
    <m/>
    <m/>
    <m/>
    <m/>
    <m/>
    <m/>
    <m/>
    <m/>
    <m/>
    <m/>
  </r>
  <r>
    <x v="15"/>
    <x v="11"/>
    <x v="130"/>
    <m/>
    <m/>
    <m/>
    <m/>
    <m/>
    <m/>
    <m/>
    <m/>
    <m/>
    <m/>
    <m/>
    <m/>
    <m/>
    <m/>
    <m/>
  </r>
  <r>
    <x v="15"/>
    <x v="11"/>
    <x v="130"/>
    <m/>
    <m/>
    <m/>
    <m/>
    <m/>
    <m/>
    <m/>
    <m/>
    <m/>
    <m/>
    <m/>
    <m/>
    <m/>
    <m/>
    <m/>
  </r>
  <r>
    <x v="15"/>
    <x v="11"/>
    <x v="130"/>
    <m/>
    <m/>
    <m/>
    <m/>
    <m/>
    <m/>
    <m/>
    <m/>
    <m/>
    <m/>
    <m/>
    <m/>
    <m/>
    <m/>
    <m/>
  </r>
  <r>
    <x v="15"/>
    <x v="11"/>
    <x v="130"/>
    <m/>
    <m/>
    <m/>
    <m/>
    <m/>
    <m/>
    <m/>
    <m/>
    <m/>
    <m/>
    <m/>
    <m/>
    <m/>
    <m/>
    <m/>
  </r>
  <r>
    <x v="15"/>
    <x v="11"/>
    <x v="130"/>
    <m/>
    <m/>
    <m/>
    <m/>
    <m/>
    <m/>
    <m/>
    <m/>
    <m/>
    <m/>
    <m/>
    <m/>
    <m/>
    <m/>
    <m/>
  </r>
  <r>
    <x v="15"/>
    <x v="11"/>
    <x v="130"/>
    <m/>
    <m/>
    <m/>
    <m/>
    <m/>
    <m/>
    <m/>
    <m/>
    <m/>
    <m/>
    <m/>
    <m/>
    <m/>
    <m/>
    <m/>
  </r>
  <r>
    <x v="15"/>
    <x v="11"/>
    <x v="130"/>
    <m/>
    <m/>
    <m/>
    <m/>
    <m/>
    <m/>
    <m/>
    <m/>
    <m/>
    <m/>
    <m/>
    <m/>
    <m/>
    <m/>
    <m/>
  </r>
  <r>
    <x v="15"/>
    <x v="11"/>
    <x v="130"/>
    <m/>
    <m/>
    <m/>
    <m/>
    <m/>
    <m/>
    <m/>
    <m/>
    <m/>
    <m/>
    <m/>
    <m/>
    <m/>
    <m/>
    <m/>
  </r>
  <r>
    <x v="16"/>
    <x v="11"/>
    <x v="130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0EC9E-03B4-4B88-9F4A-34F37D0558C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P16" firstHeaderRow="1" firstDataRow="2" firstDataCol="1"/>
  <pivotFields count="18">
    <pivotField axis="axisCol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t="default"/>
      </items>
    </pivotField>
    <pivotField showAll="0">
      <items count="132">
        <item x="29"/>
        <item x="30"/>
        <item x="27"/>
        <item x="28"/>
        <item x="26"/>
        <item x="43"/>
        <item x="107"/>
        <item x="106"/>
        <item x="44"/>
        <item x="108"/>
        <item x="57"/>
        <item x="16"/>
        <item x="109"/>
        <item x="110"/>
        <item x="25"/>
        <item x="47"/>
        <item x="120"/>
        <item x="99"/>
        <item x="93"/>
        <item x="19"/>
        <item x="90"/>
        <item x="15"/>
        <item x="100"/>
        <item x="42"/>
        <item x="72"/>
        <item x="73"/>
        <item x="55"/>
        <item x="92"/>
        <item x="118"/>
        <item x="117"/>
        <item x="41"/>
        <item x="20"/>
        <item x="119"/>
        <item x="91"/>
        <item x="45"/>
        <item x="17"/>
        <item x="89"/>
        <item x="74"/>
        <item x="98"/>
        <item x="7"/>
        <item x="18"/>
        <item x="75"/>
        <item x="101"/>
        <item x="111"/>
        <item x="102"/>
        <item x="56"/>
        <item x="105"/>
        <item x="116"/>
        <item x="46"/>
        <item x="38"/>
        <item x="54"/>
        <item x="71"/>
        <item x="5"/>
        <item x="48"/>
        <item x="37"/>
        <item x="39"/>
        <item x="70"/>
        <item x="52"/>
        <item x="88"/>
        <item x="53"/>
        <item x="36"/>
        <item x="8"/>
        <item x="69"/>
        <item x="6"/>
        <item x="97"/>
        <item x="24"/>
        <item x="62"/>
        <item x="51"/>
        <item x="115"/>
        <item x="60"/>
        <item x="14"/>
        <item x="4"/>
        <item x="84"/>
        <item x="104"/>
        <item x="35"/>
        <item x="83"/>
        <item x="63"/>
        <item x="80"/>
        <item x="9"/>
        <item x="50"/>
        <item x="61"/>
        <item x="81"/>
        <item x="82"/>
        <item x="3"/>
        <item x="87"/>
        <item x="65"/>
        <item x="23"/>
        <item x="59"/>
        <item x="64"/>
        <item x="79"/>
        <item x="40"/>
        <item x="114"/>
        <item x="124"/>
        <item x="96"/>
        <item x="68"/>
        <item x="34"/>
        <item x="78"/>
        <item x="123"/>
        <item x="66"/>
        <item x="125"/>
        <item x="95"/>
        <item x="13"/>
        <item x="58"/>
        <item x="77"/>
        <item x="103"/>
        <item x="67"/>
        <item x="128"/>
        <item x="22"/>
        <item x="86"/>
        <item x="31"/>
        <item x="33"/>
        <item x="113"/>
        <item x="129"/>
        <item x="10"/>
        <item x="2"/>
        <item x="85"/>
        <item x="127"/>
        <item x="76"/>
        <item x="122"/>
        <item x="49"/>
        <item x="94"/>
        <item x="12"/>
        <item x="32"/>
        <item x="126"/>
        <item x="112"/>
        <item x="11"/>
        <item x="21"/>
        <item x="0"/>
        <item x="1"/>
        <item x="121"/>
        <item x="13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 of interventions_Farm_Plan" fld="7" baseField="0" baseItem="0"/>
  </dataFields>
  <chartFormats count="14">
    <chartFormat chart="0" format="179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80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81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82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83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184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185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186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0" format="187" series="1">
      <pivotArea type="data" outline="0" fieldPosition="0">
        <references count="1">
          <reference field="0" count="1" selected="0">
            <x v="8"/>
          </reference>
        </references>
      </pivotArea>
    </chartFormat>
    <chartFormat chart="0" format="188" series="1">
      <pivotArea type="data" outline="0" fieldPosition="0">
        <references count="1">
          <reference field="0" count="1" selected="0">
            <x v="9"/>
          </reference>
        </references>
      </pivotArea>
    </chartFormat>
    <chartFormat chart="0" format="189" series="1">
      <pivotArea type="data" outline="0" fieldPosition="0">
        <references count="1">
          <reference field="0" count="1" selected="0">
            <x v="10"/>
          </reference>
        </references>
      </pivotArea>
    </chartFormat>
    <chartFormat chart="0" format="190" series="1">
      <pivotArea type="data" outline="0" fieldPosition="0">
        <references count="1">
          <reference field="0" count="1" selected="0">
            <x v="11"/>
          </reference>
        </references>
      </pivotArea>
    </chartFormat>
    <chartFormat chart="0" format="191" series="1">
      <pivotArea type="data" outline="0" fieldPosition="0">
        <references count="1">
          <reference field="0" count="1" selected="0">
            <x v="12"/>
          </reference>
        </references>
      </pivotArea>
    </chartFormat>
    <chartFormat chart="0" format="192" series="1">
      <pivotArea type="data" outline="0" fieldPosition="0">
        <references count="1">
          <reference field="0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5A13-E29A-4E59-AC49-DBCD3DD6186D}">
  <dimension ref="A1:O25"/>
  <sheetViews>
    <sheetView workbookViewId="0">
      <selection activeCell="O25" sqref="O25"/>
    </sheetView>
  </sheetViews>
  <sheetFormatPr defaultRowHeight="15" x14ac:dyDescent="0.25"/>
  <cols>
    <col min="1" max="1" width="30" customWidth="1"/>
    <col min="2" max="18" width="11" customWidth="1"/>
  </cols>
  <sheetData>
    <row r="1" spans="1:15" x14ac:dyDescent="0.25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</row>
    <row r="2" spans="1:15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3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4</v>
      </c>
    </row>
    <row r="5" spans="1:15" x14ac:dyDescent="0.25">
      <c r="A5" t="s">
        <v>5</v>
      </c>
      <c r="B5" t="s">
        <v>6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</row>
    <row r="6" spans="1:15" x14ac:dyDescent="0.25">
      <c r="A6" t="s">
        <v>7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</row>
    <row r="7" spans="1:15" x14ac:dyDescent="0.25">
      <c r="A7" t="s">
        <v>9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</row>
    <row r="8" spans="1:15" x14ac:dyDescent="0.25">
      <c r="A8" t="s">
        <v>10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  <c r="L8" t="s">
        <v>11</v>
      </c>
      <c r="M8" t="s">
        <v>11</v>
      </c>
      <c r="N8" t="s">
        <v>11</v>
      </c>
      <c r="O8" t="s">
        <v>11</v>
      </c>
    </row>
    <row r="9" spans="1:15" x14ac:dyDescent="0.25">
      <c r="A9" t="s">
        <v>12</v>
      </c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</row>
    <row r="10" spans="1:15" x14ac:dyDescent="0.25">
      <c r="A10" t="s">
        <v>14</v>
      </c>
      <c r="B10">
        <v>30</v>
      </c>
      <c r="C10">
        <v>30</v>
      </c>
      <c r="D10">
        <v>30</v>
      </c>
      <c r="E10">
        <v>30</v>
      </c>
      <c r="F10">
        <v>30</v>
      </c>
      <c r="G10">
        <v>30</v>
      </c>
      <c r="H10">
        <v>30</v>
      </c>
      <c r="I10">
        <v>30</v>
      </c>
      <c r="J10">
        <v>30</v>
      </c>
      <c r="K10">
        <v>30</v>
      </c>
      <c r="L10">
        <v>30</v>
      </c>
      <c r="M10">
        <v>30</v>
      </c>
      <c r="N10">
        <v>30</v>
      </c>
      <c r="O10">
        <v>30</v>
      </c>
    </row>
    <row r="11" spans="1:15" x14ac:dyDescent="0.25">
      <c r="A11" t="s">
        <v>15</v>
      </c>
      <c r="B11">
        <v>1000</v>
      </c>
      <c r="C11">
        <v>1000</v>
      </c>
      <c r="D11">
        <v>1000</v>
      </c>
      <c r="E11">
        <v>1000</v>
      </c>
      <c r="F11">
        <v>1000</v>
      </c>
      <c r="G11">
        <v>1000</v>
      </c>
      <c r="H11">
        <v>1000</v>
      </c>
      <c r="I11">
        <v>1000</v>
      </c>
      <c r="J11">
        <v>1000</v>
      </c>
      <c r="K11">
        <v>1000</v>
      </c>
      <c r="L11">
        <v>1000</v>
      </c>
      <c r="M11">
        <v>1000</v>
      </c>
      <c r="N11">
        <v>1000</v>
      </c>
      <c r="O11">
        <v>1000</v>
      </c>
    </row>
    <row r="12" spans="1:15" x14ac:dyDescent="0.25">
      <c r="A12" t="s">
        <v>16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</row>
    <row r="13" spans="1:15" x14ac:dyDescent="0.25">
      <c r="A13" t="s">
        <v>17</v>
      </c>
      <c r="B13">
        <v>4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</row>
    <row r="14" spans="1:15" x14ac:dyDescent="0.25">
      <c r="A14" t="s">
        <v>18</v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</row>
    <row r="15" spans="1:15" x14ac:dyDescent="0.25">
      <c r="A15" t="s">
        <v>19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 s="3">
        <v>0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</row>
    <row r="16" spans="1:15" x14ac:dyDescent="0.25">
      <c r="A16" t="s">
        <v>20</v>
      </c>
      <c r="B16">
        <v>6</v>
      </c>
      <c r="C16">
        <v>6</v>
      </c>
      <c r="D16">
        <v>6</v>
      </c>
      <c r="E16">
        <v>6</v>
      </c>
      <c r="F16">
        <v>6</v>
      </c>
      <c r="G16">
        <v>6</v>
      </c>
      <c r="H16">
        <v>6</v>
      </c>
      <c r="I16">
        <v>6</v>
      </c>
      <c r="J16" s="3">
        <v>0</v>
      </c>
      <c r="K16">
        <v>6</v>
      </c>
      <c r="L16">
        <v>6</v>
      </c>
      <c r="M16">
        <v>6</v>
      </c>
      <c r="N16">
        <v>6</v>
      </c>
      <c r="O16">
        <v>6</v>
      </c>
    </row>
    <row r="17" spans="1:15" x14ac:dyDescent="0.25">
      <c r="A17" t="s">
        <v>21</v>
      </c>
      <c r="B17">
        <v>0.5</v>
      </c>
      <c r="C17">
        <v>0.5</v>
      </c>
      <c r="D17">
        <v>0.5</v>
      </c>
      <c r="E17">
        <v>0.5</v>
      </c>
      <c r="F17">
        <v>0.5</v>
      </c>
      <c r="G17">
        <v>0.5</v>
      </c>
      <c r="H17">
        <v>0.5</v>
      </c>
      <c r="I17">
        <v>0.5</v>
      </c>
      <c r="J17">
        <v>0.5</v>
      </c>
      <c r="K17">
        <v>0.5</v>
      </c>
      <c r="L17" s="3">
        <v>0</v>
      </c>
      <c r="M17" s="3">
        <v>1</v>
      </c>
      <c r="N17">
        <v>0.5</v>
      </c>
      <c r="O17">
        <v>0.5</v>
      </c>
    </row>
    <row r="18" spans="1:15" x14ac:dyDescent="0.25">
      <c r="A18" t="s">
        <v>22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 s="3">
        <v>1</v>
      </c>
      <c r="O18">
        <v>0.1</v>
      </c>
    </row>
    <row r="19" spans="1:15" x14ac:dyDescent="0.25">
      <c r="A19" t="s">
        <v>23</v>
      </c>
      <c r="B19">
        <v>4</v>
      </c>
      <c r="C19">
        <v>4</v>
      </c>
      <c r="D19">
        <v>4</v>
      </c>
      <c r="E19" s="2">
        <v>4</v>
      </c>
      <c r="F19">
        <v>4</v>
      </c>
      <c r="G19" s="3">
        <v>10</v>
      </c>
      <c r="H19" s="3">
        <v>0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</row>
    <row r="20" spans="1:15" x14ac:dyDescent="0.25">
      <c r="A20" t="s">
        <v>24</v>
      </c>
      <c r="B20">
        <v>20</v>
      </c>
      <c r="C20">
        <v>20</v>
      </c>
      <c r="D20">
        <v>20</v>
      </c>
      <c r="E20">
        <v>20</v>
      </c>
      <c r="F20">
        <v>20</v>
      </c>
      <c r="G20">
        <v>20</v>
      </c>
      <c r="H20">
        <v>20</v>
      </c>
      <c r="I20">
        <v>20</v>
      </c>
      <c r="J20">
        <v>20</v>
      </c>
      <c r="K20">
        <v>20</v>
      </c>
      <c r="L20">
        <v>20</v>
      </c>
      <c r="M20">
        <v>20</v>
      </c>
      <c r="N20">
        <v>20</v>
      </c>
      <c r="O20">
        <v>20</v>
      </c>
    </row>
    <row r="21" spans="1:15" x14ac:dyDescent="0.25">
      <c r="A21" t="s">
        <v>25</v>
      </c>
      <c r="B21">
        <v>5</v>
      </c>
      <c r="C21" s="1">
        <v>5</v>
      </c>
      <c r="D21">
        <v>5</v>
      </c>
      <c r="E21" s="3">
        <v>1</v>
      </c>
      <c r="F21" s="3">
        <v>19.98</v>
      </c>
      <c r="G21">
        <v>5</v>
      </c>
      <c r="H21" s="2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</row>
    <row r="22" spans="1:15" x14ac:dyDescent="0.25">
      <c r="A22" t="s">
        <v>26</v>
      </c>
      <c r="B22" t="b">
        <v>1</v>
      </c>
      <c r="C22" t="b">
        <v>1</v>
      </c>
      <c r="D22" s="3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</row>
    <row r="23" spans="1:15" x14ac:dyDescent="0.25">
      <c r="A23" t="s">
        <v>27</v>
      </c>
      <c r="B23" t="b">
        <v>1</v>
      </c>
      <c r="C23" s="3" t="b">
        <v>0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</row>
    <row r="24" spans="1:15" x14ac:dyDescent="0.25">
      <c r="A24" t="s">
        <v>60</v>
      </c>
      <c r="B24">
        <v>3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 s="3">
        <v>0</v>
      </c>
      <c r="L24">
        <v>3</v>
      </c>
      <c r="M24">
        <v>3</v>
      </c>
      <c r="N24">
        <v>3</v>
      </c>
      <c r="O24">
        <v>3</v>
      </c>
    </row>
    <row r="25" spans="1:15" x14ac:dyDescent="0.2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s="3">
        <v>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BECB-258F-40D4-9383-610E0B4957F2}">
  <dimension ref="A1:R174"/>
  <sheetViews>
    <sheetView workbookViewId="0">
      <pane ySplit="1" topLeftCell="A2" activePane="bottomLeft" state="frozen"/>
      <selection pane="bottomLeft" sqref="A1:R1048576"/>
    </sheetView>
  </sheetViews>
  <sheetFormatPr defaultRowHeight="15" x14ac:dyDescent="0.25"/>
  <cols>
    <col min="1" max="18" width="10.140625" customWidth="1"/>
  </cols>
  <sheetData>
    <row r="1" spans="1:18" s="4" customFormat="1" ht="49.5" customHeight="1" x14ac:dyDescent="0.25">
      <c r="A1" s="5" t="s">
        <v>59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 t="s">
        <v>52</v>
      </c>
      <c r="M1" s="5" t="s">
        <v>53</v>
      </c>
      <c r="N1" s="5" t="s">
        <v>54</v>
      </c>
      <c r="O1" s="5" t="s">
        <v>55</v>
      </c>
      <c r="P1" s="5" t="s">
        <v>56</v>
      </c>
      <c r="Q1" s="5" t="s">
        <v>57</v>
      </c>
      <c r="R1" s="5" t="s">
        <v>58</v>
      </c>
    </row>
    <row r="2" spans="1:18" x14ac:dyDescent="0.25">
      <c r="A2">
        <v>1</v>
      </c>
      <c r="B2">
        <v>0</v>
      </c>
      <c r="C2">
        <v>719112410</v>
      </c>
      <c r="D2">
        <v>616362962</v>
      </c>
      <c r="E2">
        <v>169977435</v>
      </c>
      <c r="F2">
        <v>916</v>
      </c>
      <c r="G2">
        <v>352</v>
      </c>
      <c r="H2">
        <v>890</v>
      </c>
      <c r="I2">
        <v>1109</v>
      </c>
      <c r="J2">
        <v>68</v>
      </c>
      <c r="K2">
        <v>3558</v>
      </c>
      <c r="L2">
        <v>1314</v>
      </c>
      <c r="M2">
        <v>5442</v>
      </c>
      <c r="N2">
        <v>0.93597122302158198</v>
      </c>
      <c r="O2">
        <v>1</v>
      </c>
      <c r="P2">
        <v>1</v>
      </c>
      <c r="Q2">
        <v>1</v>
      </c>
      <c r="R2">
        <v>0.98992805755395596</v>
      </c>
    </row>
    <row r="3" spans="1:18" x14ac:dyDescent="0.25">
      <c r="A3">
        <f>A2</f>
        <v>1</v>
      </c>
      <c r="B3">
        <v>1</v>
      </c>
      <c r="C3">
        <v>719371589</v>
      </c>
      <c r="D3">
        <v>616686296</v>
      </c>
      <c r="E3">
        <v>220655594</v>
      </c>
      <c r="F3">
        <v>1749</v>
      </c>
      <c r="G3">
        <v>597</v>
      </c>
      <c r="H3">
        <v>1657</v>
      </c>
      <c r="I3">
        <v>1756</v>
      </c>
      <c r="J3">
        <v>86</v>
      </c>
      <c r="K3">
        <v>3459</v>
      </c>
      <c r="L3">
        <v>1523</v>
      </c>
      <c r="M3">
        <v>5314</v>
      </c>
      <c r="N3">
        <v>0.93597122302158198</v>
      </c>
      <c r="O3">
        <v>1</v>
      </c>
      <c r="P3">
        <v>1</v>
      </c>
      <c r="Q3">
        <v>1</v>
      </c>
      <c r="R3">
        <v>0.98992805755395596</v>
      </c>
    </row>
    <row r="4" spans="1:18" x14ac:dyDescent="0.25">
      <c r="A4">
        <f t="shared" ref="A4:A12" si="0">A3</f>
        <v>1</v>
      </c>
      <c r="B4">
        <v>2</v>
      </c>
      <c r="C4">
        <v>713081723</v>
      </c>
      <c r="D4">
        <v>614168169</v>
      </c>
      <c r="E4">
        <v>227277865</v>
      </c>
      <c r="F4">
        <v>2646</v>
      </c>
      <c r="G4">
        <v>914</v>
      </c>
      <c r="H4">
        <v>2491</v>
      </c>
      <c r="I4">
        <v>2676</v>
      </c>
      <c r="J4">
        <v>85</v>
      </c>
      <c r="K4">
        <v>3305</v>
      </c>
      <c r="L4">
        <v>1782</v>
      </c>
      <c r="M4">
        <v>5210</v>
      </c>
      <c r="N4">
        <v>0.90431654676258899</v>
      </c>
      <c r="O4">
        <v>1</v>
      </c>
      <c r="P4">
        <v>1</v>
      </c>
      <c r="Q4">
        <v>1</v>
      </c>
      <c r="R4">
        <v>0.98992805755395596</v>
      </c>
    </row>
    <row r="5" spans="1:18" x14ac:dyDescent="0.25">
      <c r="A5">
        <f t="shared" si="0"/>
        <v>1</v>
      </c>
      <c r="B5">
        <v>3</v>
      </c>
      <c r="C5">
        <v>704864780</v>
      </c>
      <c r="D5">
        <v>609146028</v>
      </c>
      <c r="E5">
        <v>219897063</v>
      </c>
      <c r="F5">
        <v>3721</v>
      </c>
      <c r="G5">
        <v>1188</v>
      </c>
      <c r="H5">
        <v>3492</v>
      </c>
      <c r="I5">
        <v>4017</v>
      </c>
      <c r="J5">
        <v>99</v>
      </c>
      <c r="K5">
        <v>3299</v>
      </c>
      <c r="L5">
        <v>1884</v>
      </c>
      <c r="M5">
        <v>5100</v>
      </c>
      <c r="N5">
        <v>0.87050359712230196</v>
      </c>
      <c r="O5">
        <v>1</v>
      </c>
      <c r="P5">
        <v>1</v>
      </c>
      <c r="Q5">
        <v>1</v>
      </c>
      <c r="R5">
        <v>0.98992805755395596</v>
      </c>
    </row>
    <row r="6" spans="1:18" x14ac:dyDescent="0.25">
      <c r="A6">
        <f t="shared" si="0"/>
        <v>1</v>
      </c>
      <c r="B6">
        <v>4</v>
      </c>
      <c r="C6">
        <v>703131486</v>
      </c>
      <c r="D6">
        <v>612683272</v>
      </c>
      <c r="E6">
        <v>198324594</v>
      </c>
      <c r="F6">
        <v>4861</v>
      </c>
      <c r="G6">
        <v>1442</v>
      </c>
      <c r="H6">
        <v>4681</v>
      </c>
      <c r="I6">
        <v>4835</v>
      </c>
      <c r="J6">
        <v>111</v>
      </c>
      <c r="K6">
        <v>3236</v>
      </c>
      <c r="L6">
        <v>2049</v>
      </c>
      <c r="M6">
        <v>4986</v>
      </c>
      <c r="N6">
        <v>0.85539568345323702</v>
      </c>
      <c r="O6">
        <v>1</v>
      </c>
      <c r="P6">
        <v>1</v>
      </c>
      <c r="Q6">
        <v>1</v>
      </c>
      <c r="R6">
        <v>0.98848920863309298</v>
      </c>
    </row>
    <row r="7" spans="1:18" x14ac:dyDescent="0.25">
      <c r="A7">
        <f t="shared" si="0"/>
        <v>1</v>
      </c>
      <c r="B7">
        <v>5</v>
      </c>
      <c r="C7">
        <v>699440125</v>
      </c>
      <c r="D7">
        <v>613749954</v>
      </c>
      <c r="E7">
        <v>162199760</v>
      </c>
      <c r="F7">
        <v>5701</v>
      </c>
      <c r="G7">
        <v>1724</v>
      </c>
      <c r="H7">
        <v>5605</v>
      </c>
      <c r="I7">
        <v>5560</v>
      </c>
      <c r="J7">
        <v>117</v>
      </c>
      <c r="K7">
        <v>3178</v>
      </c>
      <c r="L7">
        <v>2236</v>
      </c>
      <c r="M7">
        <v>4851</v>
      </c>
      <c r="N7">
        <v>0.81870503597122302</v>
      </c>
      <c r="O7">
        <v>1</v>
      </c>
      <c r="P7">
        <v>1</v>
      </c>
      <c r="Q7">
        <v>1</v>
      </c>
      <c r="R7">
        <v>0.98848920863309298</v>
      </c>
    </row>
    <row r="8" spans="1:18" x14ac:dyDescent="0.25">
      <c r="A8">
        <f t="shared" si="0"/>
        <v>1</v>
      </c>
      <c r="B8">
        <v>6</v>
      </c>
      <c r="C8">
        <v>701025330</v>
      </c>
      <c r="D8">
        <v>617719281</v>
      </c>
      <c r="E8">
        <v>178528829</v>
      </c>
      <c r="F8">
        <v>6187</v>
      </c>
      <c r="G8">
        <v>1968</v>
      </c>
      <c r="H8">
        <v>6248</v>
      </c>
      <c r="I8">
        <v>5998</v>
      </c>
      <c r="J8">
        <v>136</v>
      </c>
      <c r="K8">
        <v>3111</v>
      </c>
      <c r="L8">
        <v>2435</v>
      </c>
      <c r="M8">
        <v>4700</v>
      </c>
      <c r="N8">
        <v>0.78776978417266097</v>
      </c>
      <c r="O8">
        <v>1</v>
      </c>
      <c r="P8">
        <v>1</v>
      </c>
      <c r="Q8">
        <v>1</v>
      </c>
      <c r="R8">
        <v>0.98633093525179805</v>
      </c>
    </row>
    <row r="9" spans="1:18" x14ac:dyDescent="0.25">
      <c r="A9">
        <f t="shared" si="0"/>
        <v>1</v>
      </c>
      <c r="B9">
        <v>7</v>
      </c>
      <c r="C9">
        <v>697119177</v>
      </c>
      <c r="D9">
        <v>616871897</v>
      </c>
      <c r="E9">
        <v>186316248</v>
      </c>
      <c r="F9">
        <v>6446</v>
      </c>
      <c r="G9">
        <v>2117</v>
      </c>
      <c r="H9">
        <v>6692</v>
      </c>
      <c r="I9">
        <v>6367</v>
      </c>
      <c r="J9">
        <v>144</v>
      </c>
      <c r="K9">
        <v>3040</v>
      </c>
      <c r="L9">
        <v>2597</v>
      </c>
      <c r="M9">
        <v>4601</v>
      </c>
      <c r="N9">
        <v>0.76474820143884803</v>
      </c>
      <c r="O9">
        <v>1</v>
      </c>
      <c r="P9">
        <v>1</v>
      </c>
      <c r="Q9">
        <v>1</v>
      </c>
      <c r="R9">
        <v>0.98489208633093495</v>
      </c>
    </row>
    <row r="10" spans="1:18" x14ac:dyDescent="0.25">
      <c r="A10">
        <f t="shared" si="0"/>
        <v>1</v>
      </c>
      <c r="B10">
        <v>8</v>
      </c>
      <c r="C10">
        <v>700617763</v>
      </c>
      <c r="D10">
        <v>620600572</v>
      </c>
      <c r="E10">
        <v>191656138</v>
      </c>
      <c r="F10">
        <v>6606</v>
      </c>
      <c r="G10">
        <v>2333</v>
      </c>
      <c r="H10">
        <v>6631</v>
      </c>
      <c r="I10">
        <v>6416</v>
      </c>
      <c r="J10">
        <v>168</v>
      </c>
      <c r="K10">
        <v>2998</v>
      </c>
      <c r="L10">
        <v>2891</v>
      </c>
      <c r="M10">
        <v>4325</v>
      </c>
      <c r="N10">
        <v>0.73956834532374105</v>
      </c>
      <c r="O10">
        <v>1</v>
      </c>
      <c r="P10">
        <v>1</v>
      </c>
      <c r="Q10">
        <v>1</v>
      </c>
      <c r="R10">
        <v>0.98489208633093495</v>
      </c>
    </row>
    <row r="11" spans="1:18" x14ac:dyDescent="0.25">
      <c r="A11">
        <f t="shared" si="0"/>
        <v>1</v>
      </c>
      <c r="B11">
        <v>9</v>
      </c>
      <c r="C11">
        <v>703960874</v>
      </c>
      <c r="D11">
        <v>624169598</v>
      </c>
      <c r="E11">
        <v>194619567</v>
      </c>
      <c r="F11">
        <v>6636</v>
      </c>
      <c r="G11">
        <v>2438</v>
      </c>
      <c r="H11">
        <v>6658</v>
      </c>
      <c r="I11">
        <v>6466</v>
      </c>
      <c r="J11">
        <v>174</v>
      </c>
      <c r="K11">
        <v>2982</v>
      </c>
      <c r="L11">
        <v>3078</v>
      </c>
      <c r="M11">
        <v>4148</v>
      </c>
      <c r="N11">
        <v>0.70719424460431601</v>
      </c>
      <c r="O11">
        <v>1</v>
      </c>
      <c r="P11">
        <v>1</v>
      </c>
      <c r="Q11">
        <v>1</v>
      </c>
      <c r="R11">
        <v>0.98129496402877703</v>
      </c>
    </row>
    <row r="12" spans="1:18" x14ac:dyDescent="0.25">
      <c r="A12">
        <f t="shared" si="0"/>
        <v>1</v>
      </c>
      <c r="B12">
        <v>10</v>
      </c>
      <c r="C12">
        <v>712954854</v>
      </c>
      <c r="D12">
        <v>632642670</v>
      </c>
      <c r="E12">
        <v>199653662</v>
      </c>
      <c r="F12">
        <v>6529</v>
      </c>
      <c r="G12">
        <v>2487</v>
      </c>
      <c r="H12">
        <v>6540</v>
      </c>
      <c r="I12">
        <v>6490</v>
      </c>
      <c r="J12">
        <v>188</v>
      </c>
      <c r="K12">
        <v>2938</v>
      </c>
      <c r="L12">
        <v>3321</v>
      </c>
      <c r="M12">
        <v>3935</v>
      </c>
      <c r="N12">
        <v>0.68776978417266099</v>
      </c>
      <c r="O12">
        <v>1</v>
      </c>
      <c r="P12">
        <v>1</v>
      </c>
      <c r="Q12">
        <v>1</v>
      </c>
      <c r="R12">
        <v>0.97985611510791304</v>
      </c>
    </row>
    <row r="13" spans="1:18" x14ac:dyDescent="0.25">
      <c r="A13">
        <f>A2+1</f>
        <v>2</v>
      </c>
      <c r="B13">
        <v>0</v>
      </c>
      <c r="C13">
        <v>719112410</v>
      </c>
      <c r="D13">
        <v>616362962</v>
      </c>
      <c r="E13">
        <v>169977435</v>
      </c>
      <c r="F13">
        <v>916</v>
      </c>
      <c r="G13">
        <v>352</v>
      </c>
      <c r="H13">
        <v>890</v>
      </c>
      <c r="I13">
        <v>1109</v>
      </c>
      <c r="J13">
        <v>68</v>
      </c>
      <c r="K13">
        <v>3558</v>
      </c>
      <c r="L13">
        <v>1314</v>
      </c>
      <c r="M13">
        <v>5442</v>
      </c>
      <c r="N13">
        <v>0.93597122302158198</v>
      </c>
      <c r="O13">
        <v>1</v>
      </c>
      <c r="P13">
        <v>1</v>
      </c>
      <c r="Q13">
        <v>1</v>
      </c>
      <c r="R13">
        <v>0.98992805755395596</v>
      </c>
    </row>
    <row r="14" spans="1:18" x14ac:dyDescent="0.25">
      <c r="A14">
        <f t="shared" ref="A14:A77" si="1">A3+1</f>
        <v>2</v>
      </c>
      <c r="B14">
        <v>1</v>
      </c>
      <c r="C14">
        <v>718273665</v>
      </c>
      <c r="D14">
        <v>616353502</v>
      </c>
      <c r="E14">
        <v>214112179</v>
      </c>
      <c r="F14">
        <v>1583</v>
      </c>
      <c r="G14">
        <v>593</v>
      </c>
      <c r="H14">
        <v>1793</v>
      </c>
      <c r="I14">
        <v>2061</v>
      </c>
      <c r="J14">
        <v>91</v>
      </c>
      <c r="K14">
        <v>3469</v>
      </c>
      <c r="L14">
        <v>1543</v>
      </c>
      <c r="M14">
        <v>5279</v>
      </c>
      <c r="N14">
        <v>0.93597122302158198</v>
      </c>
      <c r="O14">
        <v>1</v>
      </c>
      <c r="P14">
        <v>1</v>
      </c>
      <c r="Q14">
        <v>1</v>
      </c>
      <c r="R14">
        <v>0.98992805755395596</v>
      </c>
    </row>
    <row r="15" spans="1:18" x14ac:dyDescent="0.25">
      <c r="A15">
        <f t="shared" si="1"/>
        <v>2</v>
      </c>
      <c r="B15">
        <v>2</v>
      </c>
      <c r="C15">
        <v>715457048</v>
      </c>
      <c r="D15">
        <v>614922708</v>
      </c>
      <c r="E15">
        <v>239710274</v>
      </c>
      <c r="F15">
        <v>2350</v>
      </c>
      <c r="G15">
        <v>753</v>
      </c>
      <c r="H15">
        <v>2597</v>
      </c>
      <c r="I15">
        <v>2918</v>
      </c>
      <c r="J15">
        <v>129</v>
      </c>
      <c r="K15">
        <v>3333</v>
      </c>
      <c r="L15">
        <v>1857</v>
      </c>
      <c r="M15">
        <v>5063</v>
      </c>
      <c r="N15">
        <v>0.902877697841726</v>
      </c>
      <c r="O15">
        <v>1</v>
      </c>
      <c r="P15">
        <v>1</v>
      </c>
      <c r="Q15">
        <v>1</v>
      </c>
      <c r="R15">
        <v>0.98705035971222999</v>
      </c>
    </row>
    <row r="16" spans="1:18" x14ac:dyDescent="0.25">
      <c r="A16">
        <f t="shared" si="1"/>
        <v>2</v>
      </c>
      <c r="B16">
        <v>3</v>
      </c>
      <c r="C16">
        <v>710374284</v>
      </c>
      <c r="D16">
        <v>614673009</v>
      </c>
      <c r="E16">
        <v>227785603</v>
      </c>
      <c r="F16">
        <v>3430</v>
      </c>
      <c r="G16">
        <v>992</v>
      </c>
      <c r="H16">
        <v>3779</v>
      </c>
      <c r="I16">
        <v>3833</v>
      </c>
      <c r="J16">
        <v>161</v>
      </c>
      <c r="K16">
        <v>3207</v>
      </c>
      <c r="L16">
        <v>2087</v>
      </c>
      <c r="M16">
        <v>4927</v>
      </c>
      <c r="N16">
        <v>0.86187050359712203</v>
      </c>
      <c r="O16">
        <v>1</v>
      </c>
      <c r="P16">
        <v>1</v>
      </c>
      <c r="Q16">
        <v>1</v>
      </c>
      <c r="R16">
        <v>0.985611510791366</v>
      </c>
    </row>
    <row r="17" spans="1:18" x14ac:dyDescent="0.25">
      <c r="A17">
        <f t="shared" si="1"/>
        <v>2</v>
      </c>
      <c r="B17">
        <v>4</v>
      </c>
      <c r="C17">
        <v>702521271</v>
      </c>
      <c r="D17">
        <v>610864603</v>
      </c>
      <c r="E17">
        <v>206190686</v>
      </c>
      <c r="F17">
        <v>4455</v>
      </c>
      <c r="G17">
        <v>1280</v>
      </c>
      <c r="H17">
        <v>5024</v>
      </c>
      <c r="I17">
        <v>4732</v>
      </c>
      <c r="J17">
        <v>238</v>
      </c>
      <c r="K17">
        <v>3151</v>
      </c>
      <c r="L17">
        <v>2131</v>
      </c>
      <c r="M17">
        <v>4862</v>
      </c>
      <c r="N17">
        <v>0.83093525179856098</v>
      </c>
      <c r="O17">
        <v>1</v>
      </c>
      <c r="P17">
        <v>1</v>
      </c>
      <c r="Q17">
        <v>1</v>
      </c>
      <c r="R17">
        <v>0.98057553956834498</v>
      </c>
    </row>
    <row r="18" spans="1:18" x14ac:dyDescent="0.25">
      <c r="A18">
        <f t="shared" si="1"/>
        <v>2</v>
      </c>
      <c r="B18">
        <v>5</v>
      </c>
      <c r="C18">
        <v>694009006</v>
      </c>
      <c r="D18">
        <v>605648777</v>
      </c>
      <c r="E18">
        <v>188410370</v>
      </c>
      <c r="F18">
        <v>5232</v>
      </c>
      <c r="G18">
        <v>1555</v>
      </c>
      <c r="H18">
        <v>5798</v>
      </c>
      <c r="I18">
        <v>5616</v>
      </c>
      <c r="J18">
        <v>245</v>
      </c>
      <c r="K18">
        <v>3112</v>
      </c>
      <c r="L18">
        <v>2261</v>
      </c>
      <c r="M18">
        <v>4764</v>
      </c>
      <c r="N18">
        <v>0.80431654676258901</v>
      </c>
      <c r="O18">
        <v>1</v>
      </c>
      <c r="P18">
        <v>1</v>
      </c>
      <c r="Q18">
        <v>1</v>
      </c>
      <c r="R18">
        <v>0.97697841726618695</v>
      </c>
    </row>
    <row r="19" spans="1:18" x14ac:dyDescent="0.25">
      <c r="A19">
        <f t="shared" si="1"/>
        <v>2</v>
      </c>
      <c r="B19">
        <v>6</v>
      </c>
      <c r="C19">
        <v>691962817</v>
      </c>
      <c r="D19">
        <v>607175443</v>
      </c>
      <c r="E19">
        <v>184186059</v>
      </c>
      <c r="F19">
        <v>5848</v>
      </c>
      <c r="G19">
        <v>1785</v>
      </c>
      <c r="H19">
        <v>6246</v>
      </c>
      <c r="I19">
        <v>6063</v>
      </c>
      <c r="J19">
        <v>269</v>
      </c>
      <c r="K19">
        <v>3084</v>
      </c>
      <c r="L19">
        <v>2409</v>
      </c>
      <c r="M19">
        <v>4620</v>
      </c>
      <c r="N19">
        <v>0.78561151079136604</v>
      </c>
      <c r="O19">
        <v>1</v>
      </c>
      <c r="P19">
        <v>1</v>
      </c>
      <c r="Q19">
        <v>1</v>
      </c>
      <c r="R19">
        <v>0.97697841726618695</v>
      </c>
    </row>
    <row r="20" spans="1:18" x14ac:dyDescent="0.25">
      <c r="A20">
        <f t="shared" si="1"/>
        <v>2</v>
      </c>
      <c r="B20">
        <v>7</v>
      </c>
      <c r="C20">
        <v>696332806</v>
      </c>
      <c r="D20">
        <v>612995717</v>
      </c>
      <c r="E20">
        <v>186058586</v>
      </c>
      <c r="F20">
        <v>6178</v>
      </c>
      <c r="G20">
        <v>2016</v>
      </c>
      <c r="H20">
        <v>6416</v>
      </c>
      <c r="I20">
        <v>6320</v>
      </c>
      <c r="J20">
        <v>285</v>
      </c>
      <c r="K20">
        <v>3027</v>
      </c>
      <c r="L20">
        <v>2640</v>
      </c>
      <c r="M20">
        <v>4430</v>
      </c>
      <c r="N20">
        <v>0.75899280575539496</v>
      </c>
      <c r="O20">
        <v>1</v>
      </c>
      <c r="P20">
        <v>1</v>
      </c>
      <c r="Q20">
        <v>1</v>
      </c>
      <c r="R20">
        <v>0.97553956834532296</v>
      </c>
    </row>
    <row r="21" spans="1:18" x14ac:dyDescent="0.25">
      <c r="A21">
        <f t="shared" si="1"/>
        <v>2</v>
      </c>
      <c r="B21">
        <v>8</v>
      </c>
      <c r="C21">
        <v>697140620</v>
      </c>
      <c r="D21">
        <v>613996725</v>
      </c>
      <c r="E21">
        <v>197529809</v>
      </c>
      <c r="F21">
        <v>6378</v>
      </c>
      <c r="G21">
        <v>2108</v>
      </c>
      <c r="H21">
        <v>6445</v>
      </c>
      <c r="I21">
        <v>6482</v>
      </c>
      <c r="J21">
        <v>325</v>
      </c>
      <c r="K21">
        <v>2898</v>
      </c>
      <c r="L21">
        <v>2888</v>
      </c>
      <c r="M21">
        <v>4271</v>
      </c>
      <c r="N21">
        <v>0.72877697841726596</v>
      </c>
      <c r="O21">
        <v>1</v>
      </c>
      <c r="P21">
        <v>1</v>
      </c>
      <c r="Q21">
        <v>1</v>
      </c>
      <c r="R21">
        <v>0.97194244604316504</v>
      </c>
    </row>
    <row r="22" spans="1:18" x14ac:dyDescent="0.25">
      <c r="A22">
        <f t="shared" si="1"/>
        <v>2</v>
      </c>
      <c r="B22">
        <v>9</v>
      </c>
      <c r="C22">
        <v>693274311</v>
      </c>
      <c r="D22">
        <v>611804845</v>
      </c>
      <c r="E22">
        <v>213204682</v>
      </c>
      <c r="F22">
        <v>6511</v>
      </c>
      <c r="G22">
        <v>2244</v>
      </c>
      <c r="H22">
        <v>6418</v>
      </c>
      <c r="I22">
        <v>6508</v>
      </c>
      <c r="J22">
        <v>380</v>
      </c>
      <c r="K22">
        <v>2829</v>
      </c>
      <c r="L22">
        <v>3077</v>
      </c>
      <c r="M22">
        <v>4096</v>
      </c>
      <c r="N22">
        <v>0.70071942446043101</v>
      </c>
      <c r="O22">
        <v>1</v>
      </c>
      <c r="P22">
        <v>1</v>
      </c>
      <c r="Q22">
        <v>1</v>
      </c>
      <c r="R22">
        <v>0.96690647482014302</v>
      </c>
    </row>
    <row r="23" spans="1:18" x14ac:dyDescent="0.25">
      <c r="A23">
        <f t="shared" si="1"/>
        <v>2</v>
      </c>
      <c r="B23">
        <v>10</v>
      </c>
      <c r="C23">
        <v>695894545</v>
      </c>
      <c r="D23">
        <v>612732535</v>
      </c>
      <c r="E23">
        <v>213686923</v>
      </c>
      <c r="F23">
        <v>6530</v>
      </c>
      <c r="G23">
        <v>2327</v>
      </c>
      <c r="H23">
        <v>6300</v>
      </c>
      <c r="I23">
        <v>6553</v>
      </c>
      <c r="J23">
        <v>394</v>
      </c>
      <c r="K23">
        <v>2776</v>
      </c>
      <c r="L23">
        <v>3264</v>
      </c>
      <c r="M23">
        <v>3948</v>
      </c>
      <c r="N23">
        <v>0.67266187050359705</v>
      </c>
      <c r="O23">
        <v>1</v>
      </c>
      <c r="P23">
        <v>1</v>
      </c>
      <c r="Q23">
        <v>1</v>
      </c>
      <c r="R23">
        <v>0.96402877697841705</v>
      </c>
    </row>
    <row r="24" spans="1:18" x14ac:dyDescent="0.25">
      <c r="A24">
        <f t="shared" si="1"/>
        <v>3</v>
      </c>
      <c r="B24">
        <v>0</v>
      </c>
      <c r="C24">
        <v>719112410</v>
      </c>
      <c r="D24">
        <v>616362962</v>
      </c>
      <c r="E24">
        <v>169977435</v>
      </c>
      <c r="F24">
        <v>916</v>
      </c>
      <c r="G24">
        <v>352</v>
      </c>
      <c r="H24">
        <v>890</v>
      </c>
      <c r="I24">
        <v>1109</v>
      </c>
      <c r="J24">
        <v>68</v>
      </c>
      <c r="K24">
        <v>3558</v>
      </c>
      <c r="L24">
        <v>1314</v>
      </c>
      <c r="M24">
        <v>5442</v>
      </c>
      <c r="N24">
        <v>0.93597122302158198</v>
      </c>
      <c r="O24">
        <v>1</v>
      </c>
      <c r="P24">
        <v>1</v>
      </c>
      <c r="Q24">
        <v>1</v>
      </c>
      <c r="R24">
        <v>0.98992805755395596</v>
      </c>
    </row>
    <row r="25" spans="1:18" x14ac:dyDescent="0.25">
      <c r="A25">
        <f t="shared" si="1"/>
        <v>3</v>
      </c>
      <c r="B25">
        <v>1</v>
      </c>
      <c r="C25">
        <v>718748705</v>
      </c>
      <c r="D25">
        <v>615882606</v>
      </c>
      <c r="E25">
        <v>212538910</v>
      </c>
      <c r="F25">
        <v>1802</v>
      </c>
      <c r="G25">
        <v>536</v>
      </c>
      <c r="H25">
        <v>1815</v>
      </c>
      <c r="I25">
        <v>1840</v>
      </c>
      <c r="J25">
        <v>95</v>
      </c>
      <c r="K25">
        <v>3443</v>
      </c>
      <c r="L25">
        <v>1518</v>
      </c>
      <c r="M25">
        <v>5326</v>
      </c>
      <c r="N25">
        <v>0.93597122302158198</v>
      </c>
      <c r="O25">
        <v>1</v>
      </c>
      <c r="P25">
        <v>1</v>
      </c>
      <c r="Q25">
        <v>1</v>
      </c>
      <c r="R25">
        <v>0.98992805755395596</v>
      </c>
    </row>
    <row r="26" spans="1:18" x14ac:dyDescent="0.25">
      <c r="A26">
        <f t="shared" si="1"/>
        <v>3</v>
      </c>
      <c r="B26">
        <v>2</v>
      </c>
      <c r="C26">
        <v>711735375</v>
      </c>
      <c r="D26">
        <v>612777560</v>
      </c>
      <c r="E26">
        <v>214384210</v>
      </c>
      <c r="F26">
        <v>2581</v>
      </c>
      <c r="G26">
        <v>744</v>
      </c>
      <c r="H26">
        <v>2833</v>
      </c>
      <c r="I26">
        <v>2847</v>
      </c>
      <c r="J26">
        <v>104</v>
      </c>
      <c r="K26">
        <v>3355</v>
      </c>
      <c r="L26">
        <v>1710</v>
      </c>
      <c r="M26">
        <v>5213</v>
      </c>
      <c r="N26">
        <v>0.91007194244604295</v>
      </c>
      <c r="O26">
        <v>1</v>
      </c>
      <c r="P26">
        <v>1</v>
      </c>
      <c r="Q26">
        <v>1</v>
      </c>
      <c r="R26">
        <v>0.98776978417266104</v>
      </c>
    </row>
    <row r="27" spans="1:18" x14ac:dyDescent="0.25">
      <c r="A27">
        <f t="shared" si="1"/>
        <v>3</v>
      </c>
      <c r="B27">
        <v>3</v>
      </c>
      <c r="C27">
        <v>705763896</v>
      </c>
      <c r="D27">
        <v>611406706</v>
      </c>
      <c r="E27">
        <v>224017202</v>
      </c>
      <c r="F27">
        <v>3753</v>
      </c>
      <c r="G27">
        <v>1040</v>
      </c>
      <c r="H27">
        <v>3998</v>
      </c>
      <c r="I27">
        <v>3748</v>
      </c>
      <c r="J27">
        <v>125</v>
      </c>
      <c r="K27">
        <v>3248</v>
      </c>
      <c r="L27">
        <v>1965</v>
      </c>
      <c r="M27">
        <v>5044</v>
      </c>
      <c r="N27">
        <v>0.87697841726618697</v>
      </c>
      <c r="O27">
        <v>1</v>
      </c>
      <c r="P27">
        <v>1</v>
      </c>
      <c r="Q27">
        <v>1</v>
      </c>
      <c r="R27">
        <v>0.98633093525179805</v>
      </c>
    </row>
    <row r="28" spans="1:18" x14ac:dyDescent="0.25">
      <c r="A28">
        <f t="shared" si="1"/>
        <v>3</v>
      </c>
      <c r="B28">
        <v>4</v>
      </c>
      <c r="C28">
        <v>701320861</v>
      </c>
      <c r="D28">
        <v>611726228</v>
      </c>
      <c r="E28">
        <v>203002984</v>
      </c>
      <c r="F28">
        <v>4798</v>
      </c>
      <c r="G28">
        <v>1310</v>
      </c>
      <c r="H28">
        <v>5119</v>
      </c>
      <c r="I28">
        <v>4646</v>
      </c>
      <c r="J28">
        <v>124</v>
      </c>
      <c r="K28">
        <v>3120</v>
      </c>
      <c r="L28">
        <v>2169</v>
      </c>
      <c r="M28">
        <v>4969</v>
      </c>
      <c r="N28">
        <v>0.84388489208633</v>
      </c>
      <c r="O28">
        <v>1</v>
      </c>
      <c r="P28">
        <v>1</v>
      </c>
      <c r="Q28">
        <v>1</v>
      </c>
      <c r="R28">
        <v>0.98417266187050301</v>
      </c>
    </row>
    <row r="29" spans="1:18" x14ac:dyDescent="0.25">
      <c r="A29">
        <f t="shared" si="1"/>
        <v>3</v>
      </c>
      <c r="B29">
        <v>5</v>
      </c>
      <c r="C29">
        <v>692395658</v>
      </c>
      <c r="D29">
        <v>607549733</v>
      </c>
      <c r="E29">
        <v>200602819</v>
      </c>
      <c r="F29">
        <v>5652</v>
      </c>
      <c r="G29">
        <v>1557</v>
      </c>
      <c r="H29">
        <v>5800</v>
      </c>
      <c r="I29">
        <v>5414</v>
      </c>
      <c r="J29">
        <v>130</v>
      </c>
      <c r="K29">
        <v>3041</v>
      </c>
      <c r="L29">
        <v>2262</v>
      </c>
      <c r="M29">
        <v>4949</v>
      </c>
      <c r="N29">
        <v>0.81510791366906399</v>
      </c>
      <c r="O29">
        <v>1</v>
      </c>
      <c r="P29">
        <v>1</v>
      </c>
      <c r="Q29">
        <v>1</v>
      </c>
      <c r="R29">
        <v>0.98201438848920797</v>
      </c>
    </row>
    <row r="30" spans="1:18" x14ac:dyDescent="0.25">
      <c r="A30">
        <f t="shared" si="1"/>
        <v>3</v>
      </c>
      <c r="B30">
        <v>6</v>
      </c>
      <c r="C30">
        <v>684717026</v>
      </c>
      <c r="D30">
        <v>605368666</v>
      </c>
      <c r="E30">
        <v>190679888</v>
      </c>
      <c r="F30">
        <v>6216</v>
      </c>
      <c r="G30">
        <v>1818</v>
      </c>
      <c r="H30">
        <v>6270</v>
      </c>
      <c r="I30">
        <v>5957</v>
      </c>
      <c r="J30">
        <v>139</v>
      </c>
      <c r="K30">
        <v>2975</v>
      </c>
      <c r="L30">
        <v>2433</v>
      </c>
      <c r="M30">
        <v>4835</v>
      </c>
      <c r="N30">
        <v>0.79856115107913594</v>
      </c>
      <c r="O30">
        <v>1</v>
      </c>
      <c r="P30">
        <v>1</v>
      </c>
      <c r="Q30">
        <v>1</v>
      </c>
      <c r="R30">
        <v>0.98129496402877703</v>
      </c>
    </row>
    <row r="31" spans="1:18" x14ac:dyDescent="0.25">
      <c r="A31">
        <f t="shared" si="1"/>
        <v>3</v>
      </c>
      <c r="B31">
        <v>7</v>
      </c>
      <c r="C31">
        <v>681673511</v>
      </c>
      <c r="D31">
        <v>604501557</v>
      </c>
      <c r="E31">
        <v>194699644</v>
      </c>
      <c r="F31">
        <v>6515</v>
      </c>
      <c r="G31">
        <v>2016</v>
      </c>
      <c r="H31">
        <v>6561</v>
      </c>
      <c r="I31">
        <v>6385</v>
      </c>
      <c r="J31">
        <v>140</v>
      </c>
      <c r="K31">
        <v>2935</v>
      </c>
      <c r="L31">
        <v>2620</v>
      </c>
      <c r="M31">
        <v>4687</v>
      </c>
      <c r="N31">
        <v>0.76978417266187005</v>
      </c>
      <c r="O31">
        <v>1</v>
      </c>
      <c r="P31">
        <v>1</v>
      </c>
      <c r="Q31">
        <v>1</v>
      </c>
      <c r="R31">
        <v>0.97985611510791304</v>
      </c>
    </row>
    <row r="32" spans="1:18" x14ac:dyDescent="0.25">
      <c r="A32">
        <f t="shared" si="1"/>
        <v>3</v>
      </c>
      <c r="B32">
        <v>8</v>
      </c>
      <c r="C32">
        <v>682502416</v>
      </c>
      <c r="D32">
        <v>606707551</v>
      </c>
      <c r="E32">
        <v>190225789</v>
      </c>
      <c r="F32">
        <v>6706</v>
      </c>
      <c r="G32">
        <v>2220</v>
      </c>
      <c r="H32">
        <v>6735</v>
      </c>
      <c r="I32">
        <v>6745</v>
      </c>
      <c r="J32">
        <v>141</v>
      </c>
      <c r="K32">
        <v>2844</v>
      </c>
      <c r="L32">
        <v>2816</v>
      </c>
      <c r="M32">
        <v>4581</v>
      </c>
      <c r="N32">
        <v>0.75107913669064696</v>
      </c>
      <c r="O32">
        <v>1</v>
      </c>
      <c r="P32">
        <v>1</v>
      </c>
      <c r="Q32">
        <v>1</v>
      </c>
      <c r="R32">
        <v>0.97985611510791304</v>
      </c>
    </row>
    <row r="33" spans="1:18" x14ac:dyDescent="0.25">
      <c r="A33">
        <f t="shared" si="1"/>
        <v>3</v>
      </c>
      <c r="B33">
        <v>9</v>
      </c>
      <c r="C33">
        <v>678439072</v>
      </c>
      <c r="D33">
        <v>605122113</v>
      </c>
      <c r="E33">
        <v>195950350</v>
      </c>
      <c r="F33">
        <v>6812</v>
      </c>
      <c r="G33">
        <v>2306</v>
      </c>
      <c r="H33">
        <v>6767</v>
      </c>
      <c r="I33">
        <v>6759</v>
      </c>
      <c r="J33">
        <v>156</v>
      </c>
      <c r="K33">
        <v>2802</v>
      </c>
      <c r="L33">
        <v>2970</v>
      </c>
      <c r="M33">
        <v>4454</v>
      </c>
      <c r="N33">
        <v>0.72374100719424395</v>
      </c>
      <c r="O33">
        <v>1</v>
      </c>
      <c r="P33">
        <v>1</v>
      </c>
      <c r="Q33">
        <v>1</v>
      </c>
      <c r="R33">
        <v>0.97913669064748199</v>
      </c>
    </row>
    <row r="34" spans="1:18" x14ac:dyDescent="0.25">
      <c r="A34">
        <f t="shared" si="1"/>
        <v>3</v>
      </c>
      <c r="B34">
        <v>10</v>
      </c>
      <c r="C34">
        <v>680986858</v>
      </c>
      <c r="D34">
        <v>606250466</v>
      </c>
      <c r="E34">
        <v>199541502</v>
      </c>
      <c r="F34">
        <v>6820</v>
      </c>
      <c r="G34">
        <v>2407</v>
      </c>
      <c r="H34">
        <v>6746</v>
      </c>
      <c r="I34">
        <v>6796</v>
      </c>
      <c r="J34">
        <v>143</v>
      </c>
      <c r="K34">
        <v>2736</v>
      </c>
      <c r="L34">
        <v>3115</v>
      </c>
      <c r="M34">
        <v>4388</v>
      </c>
      <c r="N34">
        <v>0.70647482014388396</v>
      </c>
      <c r="O34">
        <v>1</v>
      </c>
      <c r="P34">
        <v>1</v>
      </c>
      <c r="Q34">
        <v>1</v>
      </c>
      <c r="R34">
        <v>0.97841726618705005</v>
      </c>
    </row>
    <row r="35" spans="1:18" x14ac:dyDescent="0.25">
      <c r="A35">
        <f t="shared" si="1"/>
        <v>4</v>
      </c>
      <c r="B35">
        <v>0</v>
      </c>
      <c r="C35">
        <v>719112410</v>
      </c>
      <c r="D35">
        <v>616362962</v>
      </c>
      <c r="E35">
        <v>169977435</v>
      </c>
      <c r="F35">
        <v>916</v>
      </c>
      <c r="G35">
        <v>352</v>
      </c>
      <c r="H35">
        <v>890</v>
      </c>
      <c r="I35">
        <v>1109</v>
      </c>
      <c r="J35">
        <v>68</v>
      </c>
      <c r="K35">
        <v>3558</v>
      </c>
      <c r="L35">
        <v>1314</v>
      </c>
      <c r="M35">
        <v>5442</v>
      </c>
      <c r="N35">
        <v>0.93597122302158198</v>
      </c>
      <c r="O35">
        <v>1</v>
      </c>
      <c r="P35">
        <v>1</v>
      </c>
      <c r="Q35">
        <v>1</v>
      </c>
      <c r="R35">
        <v>0.98992805755395596</v>
      </c>
    </row>
    <row r="36" spans="1:18" x14ac:dyDescent="0.25">
      <c r="A36">
        <f t="shared" si="1"/>
        <v>4</v>
      </c>
      <c r="B36">
        <v>1</v>
      </c>
      <c r="C36">
        <v>719371589</v>
      </c>
      <c r="D36">
        <v>616686296</v>
      </c>
      <c r="E36">
        <v>227872818</v>
      </c>
      <c r="F36">
        <v>1269</v>
      </c>
      <c r="G36">
        <v>487</v>
      </c>
      <c r="H36">
        <v>1456</v>
      </c>
      <c r="I36">
        <v>1612</v>
      </c>
      <c r="J36">
        <v>83</v>
      </c>
      <c r="K36">
        <v>3427</v>
      </c>
      <c r="L36">
        <v>1547</v>
      </c>
      <c r="M36">
        <v>5325</v>
      </c>
      <c r="N36">
        <v>0.93597122302158198</v>
      </c>
      <c r="O36">
        <v>1</v>
      </c>
      <c r="P36">
        <v>1</v>
      </c>
      <c r="Q36">
        <v>1</v>
      </c>
      <c r="R36">
        <v>0.98992805755395596</v>
      </c>
    </row>
    <row r="37" spans="1:18" x14ac:dyDescent="0.25">
      <c r="A37">
        <f t="shared" si="1"/>
        <v>4</v>
      </c>
      <c r="B37">
        <v>2</v>
      </c>
      <c r="C37">
        <v>711922408</v>
      </c>
      <c r="D37">
        <v>612138615</v>
      </c>
      <c r="E37">
        <v>248612533</v>
      </c>
      <c r="F37">
        <v>1716</v>
      </c>
      <c r="G37">
        <v>656</v>
      </c>
      <c r="H37">
        <v>1840</v>
      </c>
      <c r="I37">
        <v>2054</v>
      </c>
      <c r="J37">
        <v>87</v>
      </c>
      <c r="K37">
        <v>3381</v>
      </c>
      <c r="L37">
        <v>1810</v>
      </c>
      <c r="M37">
        <v>5104</v>
      </c>
      <c r="N37">
        <v>0.89568345323741005</v>
      </c>
      <c r="O37">
        <v>1</v>
      </c>
      <c r="P37">
        <v>1</v>
      </c>
      <c r="Q37">
        <v>1</v>
      </c>
      <c r="R37">
        <v>0.98776978417266104</v>
      </c>
    </row>
    <row r="38" spans="1:18" x14ac:dyDescent="0.25">
      <c r="A38">
        <f t="shared" si="1"/>
        <v>4</v>
      </c>
      <c r="B38">
        <v>3</v>
      </c>
      <c r="C38">
        <v>715736779</v>
      </c>
      <c r="D38">
        <v>616380061</v>
      </c>
      <c r="E38">
        <v>227910144</v>
      </c>
      <c r="F38">
        <v>2510</v>
      </c>
      <c r="G38">
        <v>772</v>
      </c>
      <c r="H38">
        <v>2366</v>
      </c>
      <c r="I38">
        <v>2653</v>
      </c>
      <c r="J38">
        <v>107</v>
      </c>
      <c r="K38">
        <v>3318</v>
      </c>
      <c r="L38">
        <v>1931</v>
      </c>
      <c r="M38">
        <v>5026</v>
      </c>
      <c r="N38">
        <v>0.86115107913668998</v>
      </c>
      <c r="O38">
        <v>1</v>
      </c>
      <c r="P38">
        <v>1</v>
      </c>
      <c r="Q38">
        <v>1</v>
      </c>
      <c r="R38">
        <v>0.98705035971222999</v>
      </c>
    </row>
    <row r="39" spans="1:18" x14ac:dyDescent="0.25">
      <c r="A39">
        <f t="shared" si="1"/>
        <v>4</v>
      </c>
      <c r="B39">
        <v>4</v>
      </c>
      <c r="C39">
        <v>712093609</v>
      </c>
      <c r="D39">
        <v>614484237</v>
      </c>
      <c r="E39">
        <v>205372962</v>
      </c>
      <c r="F39">
        <v>2959</v>
      </c>
      <c r="G39">
        <v>883</v>
      </c>
      <c r="H39">
        <v>3149</v>
      </c>
      <c r="I39">
        <v>3158</v>
      </c>
      <c r="J39">
        <v>139</v>
      </c>
      <c r="K39">
        <v>3235</v>
      </c>
      <c r="L39">
        <v>2114</v>
      </c>
      <c r="M39">
        <v>4894</v>
      </c>
      <c r="N39">
        <v>0.83669064748201405</v>
      </c>
      <c r="O39">
        <v>1</v>
      </c>
      <c r="P39">
        <v>1</v>
      </c>
      <c r="Q39">
        <v>1</v>
      </c>
      <c r="R39">
        <v>0.98489208633093495</v>
      </c>
    </row>
    <row r="40" spans="1:18" x14ac:dyDescent="0.25">
      <c r="A40">
        <f t="shared" si="1"/>
        <v>4</v>
      </c>
      <c r="B40">
        <v>5</v>
      </c>
      <c r="C40">
        <v>708402033</v>
      </c>
      <c r="D40">
        <v>613347729</v>
      </c>
      <c r="E40">
        <v>199977357</v>
      </c>
      <c r="F40">
        <v>3672</v>
      </c>
      <c r="G40">
        <v>1036</v>
      </c>
      <c r="H40">
        <v>3547</v>
      </c>
      <c r="I40">
        <v>3629</v>
      </c>
      <c r="J40">
        <v>160</v>
      </c>
      <c r="K40">
        <v>3143</v>
      </c>
      <c r="L40">
        <v>2275</v>
      </c>
      <c r="M40">
        <v>4804</v>
      </c>
      <c r="N40">
        <v>0.81510791366906399</v>
      </c>
      <c r="O40">
        <v>1</v>
      </c>
      <c r="P40">
        <v>1</v>
      </c>
      <c r="Q40">
        <v>1</v>
      </c>
      <c r="R40">
        <v>0.98057553956834498</v>
      </c>
    </row>
    <row r="41" spans="1:18" x14ac:dyDescent="0.25">
      <c r="A41">
        <f t="shared" si="1"/>
        <v>4</v>
      </c>
      <c r="B41">
        <v>6</v>
      </c>
      <c r="C41">
        <v>703439086</v>
      </c>
      <c r="D41">
        <v>611056948</v>
      </c>
      <c r="E41">
        <v>191707518</v>
      </c>
      <c r="F41">
        <v>4066</v>
      </c>
      <c r="G41">
        <v>1170</v>
      </c>
      <c r="H41">
        <v>4099</v>
      </c>
      <c r="I41">
        <v>4088</v>
      </c>
      <c r="J41">
        <v>181</v>
      </c>
      <c r="K41">
        <v>3088</v>
      </c>
      <c r="L41">
        <v>2411</v>
      </c>
      <c r="M41">
        <v>4702</v>
      </c>
      <c r="N41">
        <v>0.79208633093525105</v>
      </c>
      <c r="O41">
        <v>1</v>
      </c>
      <c r="P41">
        <v>1</v>
      </c>
      <c r="Q41">
        <v>1</v>
      </c>
      <c r="R41">
        <v>0.97985611510791304</v>
      </c>
    </row>
    <row r="42" spans="1:18" x14ac:dyDescent="0.25">
      <c r="A42">
        <f t="shared" si="1"/>
        <v>4</v>
      </c>
      <c r="B42">
        <v>7</v>
      </c>
      <c r="C42">
        <v>700604438</v>
      </c>
      <c r="D42">
        <v>610739295</v>
      </c>
      <c r="E42">
        <v>183253428</v>
      </c>
      <c r="F42">
        <v>4369</v>
      </c>
      <c r="G42">
        <v>1309</v>
      </c>
      <c r="H42">
        <v>4529</v>
      </c>
      <c r="I42">
        <v>4499</v>
      </c>
      <c r="J42">
        <v>204</v>
      </c>
      <c r="K42">
        <v>3016</v>
      </c>
      <c r="L42">
        <v>2540</v>
      </c>
      <c r="M42">
        <v>4622</v>
      </c>
      <c r="N42">
        <v>0.769064748201438</v>
      </c>
      <c r="O42">
        <v>1</v>
      </c>
      <c r="P42">
        <v>1</v>
      </c>
      <c r="Q42">
        <v>1</v>
      </c>
      <c r="R42">
        <v>0.977697841726618</v>
      </c>
    </row>
    <row r="43" spans="1:18" x14ac:dyDescent="0.25">
      <c r="A43">
        <f t="shared" si="1"/>
        <v>4</v>
      </c>
      <c r="B43">
        <v>8</v>
      </c>
      <c r="C43">
        <v>699564611</v>
      </c>
      <c r="D43">
        <v>609983250</v>
      </c>
      <c r="E43">
        <v>188462114</v>
      </c>
      <c r="F43">
        <v>4860</v>
      </c>
      <c r="G43">
        <v>1457</v>
      </c>
      <c r="H43">
        <v>4921</v>
      </c>
      <c r="I43">
        <v>4798</v>
      </c>
      <c r="J43">
        <v>229</v>
      </c>
      <c r="K43">
        <v>2998</v>
      </c>
      <c r="L43">
        <v>2615</v>
      </c>
      <c r="M43">
        <v>4540</v>
      </c>
      <c r="N43">
        <v>0.74460431654676196</v>
      </c>
      <c r="O43">
        <v>1</v>
      </c>
      <c r="P43">
        <v>1</v>
      </c>
      <c r="Q43">
        <v>1</v>
      </c>
      <c r="R43">
        <v>0.97625899280575501</v>
      </c>
    </row>
    <row r="44" spans="1:18" x14ac:dyDescent="0.25">
      <c r="A44">
        <f t="shared" si="1"/>
        <v>4</v>
      </c>
      <c r="B44">
        <v>9</v>
      </c>
      <c r="C44">
        <v>698855272</v>
      </c>
      <c r="D44">
        <v>611726507</v>
      </c>
      <c r="E44">
        <v>197520590</v>
      </c>
      <c r="F44">
        <v>5183</v>
      </c>
      <c r="G44">
        <v>1532</v>
      </c>
      <c r="H44">
        <v>5218</v>
      </c>
      <c r="I44">
        <v>4955</v>
      </c>
      <c r="J44">
        <v>232</v>
      </c>
      <c r="K44">
        <v>2943</v>
      </c>
      <c r="L44">
        <v>2831</v>
      </c>
      <c r="M44">
        <v>4376</v>
      </c>
      <c r="N44">
        <v>0.72805755395683402</v>
      </c>
      <c r="O44">
        <v>1</v>
      </c>
      <c r="P44">
        <v>1</v>
      </c>
      <c r="Q44">
        <v>1</v>
      </c>
      <c r="R44">
        <v>0.97553956834532296</v>
      </c>
    </row>
    <row r="45" spans="1:18" x14ac:dyDescent="0.25">
      <c r="A45">
        <f t="shared" si="1"/>
        <v>4</v>
      </c>
      <c r="B45">
        <v>10</v>
      </c>
      <c r="C45">
        <v>699814760</v>
      </c>
      <c r="D45">
        <v>612184752</v>
      </c>
      <c r="E45">
        <v>206643054</v>
      </c>
      <c r="F45">
        <v>5430</v>
      </c>
      <c r="G45">
        <v>1652</v>
      </c>
      <c r="H45">
        <v>5400</v>
      </c>
      <c r="I45">
        <v>5203</v>
      </c>
      <c r="J45">
        <v>256</v>
      </c>
      <c r="K45">
        <v>2853</v>
      </c>
      <c r="L45">
        <v>2971</v>
      </c>
      <c r="M45">
        <v>4302</v>
      </c>
      <c r="N45">
        <v>0.70503597122302097</v>
      </c>
      <c r="O45">
        <v>1</v>
      </c>
      <c r="P45">
        <v>1</v>
      </c>
      <c r="Q45">
        <v>1</v>
      </c>
      <c r="R45">
        <v>0.97266187050359698</v>
      </c>
    </row>
    <row r="46" spans="1:18" x14ac:dyDescent="0.25">
      <c r="A46">
        <f t="shared" si="1"/>
        <v>5</v>
      </c>
      <c r="B46">
        <v>0</v>
      </c>
      <c r="C46">
        <v>719112410</v>
      </c>
      <c r="D46">
        <v>616362962</v>
      </c>
      <c r="E46">
        <v>169977435</v>
      </c>
      <c r="F46">
        <v>916</v>
      </c>
      <c r="G46">
        <v>352</v>
      </c>
      <c r="H46">
        <v>890</v>
      </c>
      <c r="I46">
        <v>1109</v>
      </c>
      <c r="J46">
        <v>68</v>
      </c>
      <c r="K46">
        <v>3558</v>
      </c>
      <c r="L46">
        <v>1314</v>
      </c>
      <c r="M46">
        <v>5442</v>
      </c>
      <c r="N46">
        <v>0.93597122302158198</v>
      </c>
      <c r="O46">
        <v>1</v>
      </c>
      <c r="P46">
        <v>1</v>
      </c>
      <c r="Q46">
        <v>1</v>
      </c>
      <c r="R46">
        <v>0.98992805755395596</v>
      </c>
    </row>
    <row r="47" spans="1:18" x14ac:dyDescent="0.25">
      <c r="A47">
        <f t="shared" si="1"/>
        <v>5</v>
      </c>
      <c r="B47">
        <v>1</v>
      </c>
      <c r="C47">
        <v>719371589</v>
      </c>
      <c r="D47">
        <v>616686296</v>
      </c>
      <c r="E47">
        <v>207616128</v>
      </c>
      <c r="F47">
        <v>2512</v>
      </c>
      <c r="G47">
        <v>837</v>
      </c>
      <c r="H47">
        <v>2600</v>
      </c>
      <c r="I47">
        <v>2294</v>
      </c>
      <c r="J47">
        <v>83</v>
      </c>
      <c r="K47">
        <v>3440</v>
      </c>
      <c r="L47">
        <v>1506</v>
      </c>
      <c r="M47">
        <v>5353</v>
      </c>
      <c r="N47">
        <v>0.93597122302158198</v>
      </c>
      <c r="O47">
        <v>1</v>
      </c>
      <c r="P47">
        <v>1</v>
      </c>
      <c r="Q47">
        <v>1</v>
      </c>
      <c r="R47">
        <v>0.98992805755395596</v>
      </c>
    </row>
    <row r="48" spans="1:18" x14ac:dyDescent="0.25">
      <c r="A48">
        <f t="shared" si="1"/>
        <v>5</v>
      </c>
      <c r="B48">
        <v>2</v>
      </c>
      <c r="C48">
        <v>707194404</v>
      </c>
      <c r="D48">
        <v>611677072</v>
      </c>
      <c r="E48">
        <v>229275342</v>
      </c>
      <c r="F48">
        <v>4199</v>
      </c>
      <c r="G48">
        <v>1201</v>
      </c>
      <c r="H48">
        <v>4118</v>
      </c>
      <c r="I48">
        <v>4054</v>
      </c>
      <c r="J48">
        <v>104</v>
      </c>
      <c r="K48">
        <v>3280</v>
      </c>
      <c r="L48">
        <v>1796</v>
      </c>
      <c r="M48">
        <v>5202</v>
      </c>
      <c r="N48">
        <v>0.90143884892086301</v>
      </c>
      <c r="O48">
        <v>1</v>
      </c>
      <c r="P48">
        <v>1</v>
      </c>
      <c r="Q48">
        <v>1</v>
      </c>
      <c r="R48">
        <v>0.98920863309352502</v>
      </c>
    </row>
    <row r="49" spans="1:18" x14ac:dyDescent="0.25">
      <c r="A49">
        <f t="shared" si="1"/>
        <v>5</v>
      </c>
      <c r="B49">
        <v>3</v>
      </c>
      <c r="C49">
        <v>695707191</v>
      </c>
      <c r="D49">
        <v>608318389</v>
      </c>
      <c r="E49">
        <v>199428457</v>
      </c>
      <c r="F49">
        <v>5902</v>
      </c>
      <c r="G49">
        <v>1726</v>
      </c>
      <c r="H49">
        <v>5720</v>
      </c>
      <c r="I49">
        <v>5645</v>
      </c>
      <c r="J49">
        <v>129</v>
      </c>
      <c r="K49">
        <v>3240</v>
      </c>
      <c r="L49">
        <v>1991</v>
      </c>
      <c r="M49">
        <v>5022</v>
      </c>
      <c r="N49">
        <v>0.86978417266187003</v>
      </c>
      <c r="O49">
        <v>1</v>
      </c>
      <c r="P49">
        <v>1</v>
      </c>
      <c r="Q49">
        <v>1</v>
      </c>
      <c r="R49">
        <v>0.985611510791366</v>
      </c>
    </row>
    <row r="50" spans="1:18" x14ac:dyDescent="0.25">
      <c r="A50">
        <f t="shared" si="1"/>
        <v>5</v>
      </c>
      <c r="B50">
        <v>4</v>
      </c>
      <c r="C50">
        <v>694162949</v>
      </c>
      <c r="D50">
        <v>612811412</v>
      </c>
      <c r="E50">
        <v>187530537</v>
      </c>
      <c r="F50">
        <v>6879</v>
      </c>
      <c r="G50">
        <v>2236</v>
      </c>
      <c r="H50">
        <v>6785</v>
      </c>
      <c r="I50">
        <v>6796</v>
      </c>
      <c r="J50">
        <v>145</v>
      </c>
      <c r="K50">
        <v>3123</v>
      </c>
      <c r="L50">
        <v>2195</v>
      </c>
      <c r="M50">
        <v>4919</v>
      </c>
      <c r="N50">
        <v>0.83884892086330898</v>
      </c>
      <c r="O50">
        <v>1</v>
      </c>
      <c r="P50">
        <v>1</v>
      </c>
      <c r="Q50">
        <v>1</v>
      </c>
      <c r="R50">
        <v>0.98345323741007196</v>
      </c>
    </row>
    <row r="51" spans="1:18" x14ac:dyDescent="0.25">
      <c r="A51">
        <f t="shared" si="1"/>
        <v>5</v>
      </c>
      <c r="B51">
        <v>5</v>
      </c>
      <c r="C51">
        <v>685226113</v>
      </c>
      <c r="D51">
        <v>609543462</v>
      </c>
      <c r="E51">
        <v>173141554</v>
      </c>
      <c r="F51">
        <v>7292</v>
      </c>
      <c r="G51">
        <v>2580</v>
      </c>
      <c r="H51">
        <v>7333</v>
      </c>
      <c r="I51">
        <v>7361</v>
      </c>
      <c r="J51">
        <v>131</v>
      </c>
      <c r="K51">
        <v>3106</v>
      </c>
      <c r="L51">
        <v>2421</v>
      </c>
      <c r="M51">
        <v>4724</v>
      </c>
      <c r="N51">
        <v>0.80863309352517898</v>
      </c>
      <c r="O51">
        <v>1</v>
      </c>
      <c r="P51">
        <v>1</v>
      </c>
      <c r="Q51">
        <v>1</v>
      </c>
      <c r="R51">
        <v>0.98129496402877703</v>
      </c>
    </row>
    <row r="52" spans="1:18" x14ac:dyDescent="0.25">
      <c r="A52">
        <f t="shared" si="1"/>
        <v>5</v>
      </c>
      <c r="B52">
        <v>6</v>
      </c>
      <c r="C52">
        <v>689898249</v>
      </c>
      <c r="D52">
        <v>615732442</v>
      </c>
      <c r="E52">
        <v>192486643</v>
      </c>
      <c r="F52">
        <v>7471</v>
      </c>
      <c r="G52">
        <v>2689</v>
      </c>
      <c r="H52">
        <v>7374</v>
      </c>
      <c r="I52">
        <v>7416</v>
      </c>
      <c r="J52">
        <v>138</v>
      </c>
      <c r="K52">
        <v>3026</v>
      </c>
      <c r="L52">
        <v>2636</v>
      </c>
      <c r="M52">
        <v>4582</v>
      </c>
      <c r="N52">
        <v>0.77697841726618699</v>
      </c>
      <c r="O52">
        <v>1</v>
      </c>
      <c r="P52">
        <v>1</v>
      </c>
      <c r="Q52">
        <v>1</v>
      </c>
      <c r="R52">
        <v>0.98129496402877703</v>
      </c>
    </row>
    <row r="53" spans="1:18" x14ac:dyDescent="0.25">
      <c r="A53">
        <f t="shared" si="1"/>
        <v>5</v>
      </c>
      <c r="B53">
        <v>7</v>
      </c>
      <c r="C53">
        <v>696319949</v>
      </c>
      <c r="D53">
        <v>621934076</v>
      </c>
      <c r="E53">
        <v>204046923</v>
      </c>
      <c r="F53">
        <v>7177</v>
      </c>
      <c r="G53">
        <v>2764</v>
      </c>
      <c r="H53">
        <v>7064</v>
      </c>
      <c r="I53">
        <v>7166</v>
      </c>
      <c r="J53">
        <v>162</v>
      </c>
      <c r="K53">
        <v>2968</v>
      </c>
      <c r="L53">
        <v>3030</v>
      </c>
      <c r="M53">
        <v>4222</v>
      </c>
      <c r="N53">
        <v>0.74100719424460404</v>
      </c>
      <c r="O53">
        <v>1</v>
      </c>
      <c r="P53">
        <v>1</v>
      </c>
      <c r="Q53">
        <v>1</v>
      </c>
      <c r="R53">
        <v>0.98057553956834498</v>
      </c>
    </row>
    <row r="54" spans="1:18" x14ac:dyDescent="0.25">
      <c r="A54">
        <f t="shared" si="1"/>
        <v>5</v>
      </c>
      <c r="B54">
        <v>8</v>
      </c>
      <c r="C54">
        <v>698472807</v>
      </c>
      <c r="D54">
        <v>621665245</v>
      </c>
      <c r="E54">
        <v>187671794</v>
      </c>
      <c r="F54">
        <v>7028</v>
      </c>
      <c r="G54">
        <v>2787</v>
      </c>
      <c r="H54">
        <v>7014</v>
      </c>
      <c r="I54">
        <v>7036</v>
      </c>
      <c r="J54">
        <v>176</v>
      </c>
      <c r="K54">
        <v>2882</v>
      </c>
      <c r="L54">
        <v>3133</v>
      </c>
      <c r="M54">
        <v>4191</v>
      </c>
      <c r="N54">
        <v>0.716546762589928</v>
      </c>
      <c r="O54">
        <v>1</v>
      </c>
      <c r="P54">
        <v>1</v>
      </c>
      <c r="Q54">
        <v>1</v>
      </c>
      <c r="R54">
        <v>0.977697841726618</v>
      </c>
    </row>
    <row r="55" spans="1:18" x14ac:dyDescent="0.25">
      <c r="A55">
        <f t="shared" si="1"/>
        <v>5</v>
      </c>
      <c r="B55">
        <v>9</v>
      </c>
      <c r="C55">
        <v>692515109</v>
      </c>
      <c r="D55">
        <v>617656520</v>
      </c>
      <c r="E55">
        <v>200204774</v>
      </c>
      <c r="F55">
        <v>6869</v>
      </c>
      <c r="G55">
        <v>2791</v>
      </c>
      <c r="H55">
        <v>6819</v>
      </c>
      <c r="I55">
        <v>6955</v>
      </c>
      <c r="J55">
        <v>185</v>
      </c>
      <c r="K55">
        <v>2844</v>
      </c>
      <c r="L55">
        <v>3342</v>
      </c>
      <c r="M55">
        <v>4011</v>
      </c>
      <c r="N55">
        <v>0.69352517985611495</v>
      </c>
      <c r="O55">
        <v>1</v>
      </c>
      <c r="P55">
        <v>1</v>
      </c>
      <c r="Q55">
        <v>1</v>
      </c>
      <c r="R55">
        <v>0.97553956834532296</v>
      </c>
    </row>
    <row r="56" spans="1:18" x14ac:dyDescent="0.25">
      <c r="A56">
        <f t="shared" si="1"/>
        <v>5</v>
      </c>
      <c r="B56">
        <v>10</v>
      </c>
      <c r="C56">
        <v>699455650</v>
      </c>
      <c r="D56">
        <v>621308630</v>
      </c>
      <c r="E56">
        <v>214484749</v>
      </c>
      <c r="F56">
        <v>6717</v>
      </c>
      <c r="G56">
        <v>2751</v>
      </c>
      <c r="H56">
        <v>6564</v>
      </c>
      <c r="I56">
        <v>6729</v>
      </c>
      <c r="J56">
        <v>199</v>
      </c>
      <c r="K56">
        <v>2791</v>
      </c>
      <c r="L56">
        <v>3577</v>
      </c>
      <c r="M56">
        <v>3815</v>
      </c>
      <c r="N56">
        <v>0.67050359712230201</v>
      </c>
      <c r="O56">
        <v>1</v>
      </c>
      <c r="P56">
        <v>1</v>
      </c>
      <c r="Q56">
        <v>1</v>
      </c>
      <c r="R56">
        <v>0.97338129496402803</v>
      </c>
    </row>
    <row r="57" spans="1:18" x14ac:dyDescent="0.25">
      <c r="A57">
        <f t="shared" si="1"/>
        <v>6</v>
      </c>
      <c r="B57">
        <v>0</v>
      </c>
      <c r="C57">
        <v>719112410</v>
      </c>
      <c r="D57">
        <v>616362962</v>
      </c>
      <c r="E57">
        <v>169977435</v>
      </c>
      <c r="F57">
        <v>916</v>
      </c>
      <c r="G57">
        <v>352</v>
      </c>
      <c r="H57">
        <v>890</v>
      </c>
      <c r="I57">
        <v>1109</v>
      </c>
      <c r="J57">
        <v>68</v>
      </c>
      <c r="K57">
        <v>3558</v>
      </c>
      <c r="L57">
        <v>1314</v>
      </c>
      <c r="M57">
        <v>5442</v>
      </c>
      <c r="N57">
        <v>0.93597122302158198</v>
      </c>
      <c r="O57">
        <v>1</v>
      </c>
      <c r="P57">
        <v>1</v>
      </c>
      <c r="Q57">
        <v>1</v>
      </c>
      <c r="R57">
        <v>0.98992805755395596</v>
      </c>
    </row>
    <row r="58" spans="1:18" x14ac:dyDescent="0.25">
      <c r="A58">
        <f t="shared" si="1"/>
        <v>6</v>
      </c>
      <c r="B58">
        <v>1</v>
      </c>
      <c r="C58">
        <v>719371589</v>
      </c>
      <c r="D58">
        <v>616686296</v>
      </c>
      <c r="E58">
        <v>228874089</v>
      </c>
      <c r="F58">
        <v>1743</v>
      </c>
      <c r="G58">
        <v>496</v>
      </c>
      <c r="H58">
        <v>1675</v>
      </c>
      <c r="I58">
        <v>1752</v>
      </c>
      <c r="J58">
        <v>68</v>
      </c>
      <c r="K58">
        <v>3471</v>
      </c>
      <c r="L58">
        <v>1555</v>
      </c>
      <c r="M58">
        <v>5288</v>
      </c>
      <c r="N58">
        <v>0.93597122302158198</v>
      </c>
      <c r="O58">
        <v>1</v>
      </c>
      <c r="P58">
        <v>1</v>
      </c>
      <c r="Q58">
        <v>1</v>
      </c>
      <c r="R58">
        <v>0.98992805755395596</v>
      </c>
    </row>
    <row r="59" spans="1:18" x14ac:dyDescent="0.25">
      <c r="A59">
        <f t="shared" si="1"/>
        <v>6</v>
      </c>
      <c r="B59">
        <v>2</v>
      </c>
      <c r="C59">
        <v>714440016</v>
      </c>
      <c r="D59">
        <v>614934953</v>
      </c>
      <c r="E59">
        <v>243228741</v>
      </c>
      <c r="F59">
        <v>2587</v>
      </c>
      <c r="G59">
        <v>695</v>
      </c>
      <c r="H59">
        <v>2685</v>
      </c>
      <c r="I59">
        <v>2560</v>
      </c>
      <c r="J59">
        <v>109</v>
      </c>
      <c r="K59">
        <v>3283</v>
      </c>
      <c r="L59">
        <v>1836</v>
      </c>
      <c r="M59">
        <v>5154</v>
      </c>
      <c r="N59">
        <v>0.9</v>
      </c>
      <c r="O59">
        <v>1</v>
      </c>
      <c r="P59">
        <v>1</v>
      </c>
      <c r="Q59">
        <v>1</v>
      </c>
      <c r="R59">
        <v>0.98848920863309298</v>
      </c>
    </row>
    <row r="60" spans="1:18" x14ac:dyDescent="0.25">
      <c r="A60">
        <f t="shared" si="1"/>
        <v>6</v>
      </c>
      <c r="B60">
        <v>3</v>
      </c>
      <c r="C60">
        <v>704016747</v>
      </c>
      <c r="D60">
        <v>608160369</v>
      </c>
      <c r="E60">
        <v>236784175</v>
      </c>
      <c r="F60">
        <v>3452</v>
      </c>
      <c r="G60">
        <v>1000</v>
      </c>
      <c r="H60">
        <v>3642</v>
      </c>
      <c r="I60">
        <v>3513</v>
      </c>
      <c r="J60">
        <v>94</v>
      </c>
      <c r="K60">
        <v>3230</v>
      </c>
      <c r="L60">
        <v>2037</v>
      </c>
      <c r="M60">
        <v>5021</v>
      </c>
      <c r="N60">
        <v>0.858273381294964</v>
      </c>
      <c r="O60">
        <v>1</v>
      </c>
      <c r="P60">
        <v>1</v>
      </c>
      <c r="Q60">
        <v>1</v>
      </c>
      <c r="R60">
        <v>0.98489208633093495</v>
      </c>
    </row>
    <row r="61" spans="1:18" x14ac:dyDescent="0.25">
      <c r="A61">
        <f t="shared" si="1"/>
        <v>6</v>
      </c>
      <c r="B61">
        <v>4</v>
      </c>
      <c r="C61">
        <v>701816105</v>
      </c>
      <c r="D61">
        <v>610487602</v>
      </c>
      <c r="E61">
        <v>237691934</v>
      </c>
      <c r="F61">
        <v>4510</v>
      </c>
      <c r="G61">
        <v>1209</v>
      </c>
      <c r="H61">
        <v>4764</v>
      </c>
      <c r="I61">
        <v>4442</v>
      </c>
      <c r="J61">
        <v>116</v>
      </c>
      <c r="K61">
        <v>3169</v>
      </c>
      <c r="L61">
        <v>2272</v>
      </c>
      <c r="M61">
        <v>4825</v>
      </c>
      <c r="N61">
        <v>0.83093525179856098</v>
      </c>
      <c r="O61">
        <v>1</v>
      </c>
      <c r="P61">
        <v>1</v>
      </c>
      <c r="Q61">
        <v>1</v>
      </c>
      <c r="R61">
        <v>0.98489208633093495</v>
      </c>
    </row>
    <row r="62" spans="1:18" x14ac:dyDescent="0.25">
      <c r="A62">
        <f t="shared" si="1"/>
        <v>6</v>
      </c>
      <c r="B62">
        <v>5</v>
      </c>
      <c r="C62">
        <v>700009570</v>
      </c>
      <c r="D62">
        <v>612148956</v>
      </c>
      <c r="E62">
        <v>248707540</v>
      </c>
      <c r="F62">
        <v>5440</v>
      </c>
      <c r="G62">
        <v>1480</v>
      </c>
      <c r="H62">
        <v>5569</v>
      </c>
      <c r="I62">
        <v>5168</v>
      </c>
      <c r="J62">
        <v>121</v>
      </c>
      <c r="K62">
        <v>3098</v>
      </c>
      <c r="L62">
        <v>2439</v>
      </c>
      <c r="M62">
        <v>4724</v>
      </c>
      <c r="N62">
        <v>0.79640287769784102</v>
      </c>
      <c r="O62">
        <v>1</v>
      </c>
      <c r="P62">
        <v>1</v>
      </c>
      <c r="Q62">
        <v>1</v>
      </c>
      <c r="R62">
        <v>0.98057553956834498</v>
      </c>
    </row>
    <row r="63" spans="1:18" x14ac:dyDescent="0.25">
      <c r="A63">
        <f t="shared" si="1"/>
        <v>6</v>
      </c>
      <c r="B63">
        <v>6</v>
      </c>
      <c r="C63">
        <v>700567768</v>
      </c>
      <c r="D63">
        <v>615451054</v>
      </c>
      <c r="E63">
        <v>256318752</v>
      </c>
      <c r="F63">
        <v>5745</v>
      </c>
      <c r="G63">
        <v>1682</v>
      </c>
      <c r="H63">
        <v>5999</v>
      </c>
      <c r="I63">
        <v>5592</v>
      </c>
      <c r="J63">
        <v>136</v>
      </c>
      <c r="K63">
        <v>3003</v>
      </c>
      <c r="L63">
        <v>2743</v>
      </c>
      <c r="M63">
        <v>4500</v>
      </c>
      <c r="N63">
        <v>0.76978417266187005</v>
      </c>
      <c r="O63">
        <v>1</v>
      </c>
      <c r="P63">
        <v>1</v>
      </c>
      <c r="Q63">
        <v>1</v>
      </c>
      <c r="R63">
        <v>0.97841726618705005</v>
      </c>
    </row>
    <row r="64" spans="1:18" x14ac:dyDescent="0.25">
      <c r="A64">
        <f t="shared" si="1"/>
        <v>6</v>
      </c>
      <c r="B64">
        <v>7</v>
      </c>
      <c r="C64">
        <v>699302617</v>
      </c>
      <c r="D64">
        <v>616471764</v>
      </c>
      <c r="E64">
        <v>265862198</v>
      </c>
      <c r="F64">
        <v>6069</v>
      </c>
      <c r="G64">
        <v>1809</v>
      </c>
      <c r="H64">
        <v>6085</v>
      </c>
      <c r="I64">
        <v>5955</v>
      </c>
      <c r="J64">
        <v>167</v>
      </c>
      <c r="K64">
        <v>2894</v>
      </c>
      <c r="L64">
        <v>2988</v>
      </c>
      <c r="M64">
        <v>4333</v>
      </c>
      <c r="N64">
        <v>0.738848920863309</v>
      </c>
      <c r="O64">
        <v>1</v>
      </c>
      <c r="P64">
        <v>1</v>
      </c>
      <c r="Q64">
        <v>1</v>
      </c>
      <c r="R64">
        <v>0.977697841726618</v>
      </c>
    </row>
    <row r="65" spans="1:18" x14ac:dyDescent="0.25">
      <c r="A65">
        <f t="shared" si="1"/>
        <v>6</v>
      </c>
      <c r="B65">
        <v>8</v>
      </c>
      <c r="C65">
        <v>694619943</v>
      </c>
      <c r="D65">
        <v>614054294</v>
      </c>
      <c r="E65">
        <v>247511582</v>
      </c>
      <c r="F65">
        <v>6266</v>
      </c>
      <c r="G65">
        <v>2069</v>
      </c>
      <c r="H65">
        <v>6268</v>
      </c>
      <c r="I65">
        <v>6150</v>
      </c>
      <c r="J65">
        <v>194</v>
      </c>
      <c r="K65">
        <v>2824</v>
      </c>
      <c r="L65">
        <v>3160</v>
      </c>
      <c r="M65">
        <v>4204</v>
      </c>
      <c r="N65">
        <v>0.71223021582733803</v>
      </c>
      <c r="O65">
        <v>1</v>
      </c>
      <c r="P65">
        <v>1</v>
      </c>
      <c r="Q65">
        <v>1</v>
      </c>
      <c r="R65">
        <v>0.97410071942445997</v>
      </c>
    </row>
    <row r="66" spans="1:18" x14ac:dyDescent="0.25">
      <c r="A66">
        <f t="shared" si="1"/>
        <v>6</v>
      </c>
      <c r="B66">
        <v>9</v>
      </c>
      <c r="C66">
        <v>698097710</v>
      </c>
      <c r="D66">
        <v>617019190</v>
      </c>
      <c r="E66">
        <v>223334099</v>
      </c>
      <c r="F66">
        <v>6330</v>
      </c>
      <c r="G66">
        <v>2121</v>
      </c>
      <c r="H66">
        <v>6195</v>
      </c>
      <c r="I66">
        <v>6169</v>
      </c>
      <c r="J66">
        <v>200</v>
      </c>
      <c r="K66">
        <v>2739</v>
      </c>
      <c r="L66">
        <v>3353</v>
      </c>
      <c r="M66">
        <v>4090</v>
      </c>
      <c r="N66">
        <v>0.69352517985611495</v>
      </c>
      <c r="O66">
        <v>1</v>
      </c>
      <c r="P66">
        <v>1</v>
      </c>
      <c r="Q66">
        <v>1</v>
      </c>
      <c r="R66">
        <v>0.96978417266187</v>
      </c>
    </row>
    <row r="67" spans="1:18" x14ac:dyDescent="0.25">
      <c r="A67">
        <f t="shared" si="1"/>
        <v>6</v>
      </c>
      <c r="B67">
        <v>10</v>
      </c>
      <c r="C67">
        <v>691947851</v>
      </c>
      <c r="D67">
        <v>611840014</v>
      </c>
      <c r="E67">
        <v>224100534</v>
      </c>
      <c r="F67">
        <v>6256</v>
      </c>
      <c r="G67">
        <v>2193</v>
      </c>
      <c r="H67">
        <v>6112</v>
      </c>
      <c r="I67">
        <v>6243</v>
      </c>
      <c r="J67">
        <v>210</v>
      </c>
      <c r="K67">
        <v>2652</v>
      </c>
      <c r="L67">
        <v>3589</v>
      </c>
      <c r="M67">
        <v>3931</v>
      </c>
      <c r="N67">
        <v>0.66474820143884805</v>
      </c>
      <c r="O67">
        <v>1</v>
      </c>
      <c r="P67">
        <v>1</v>
      </c>
      <c r="Q67">
        <v>1</v>
      </c>
      <c r="R67">
        <v>0.96906474820143795</v>
      </c>
    </row>
    <row r="68" spans="1:18" x14ac:dyDescent="0.25">
      <c r="A68">
        <f t="shared" si="1"/>
        <v>7</v>
      </c>
      <c r="B68">
        <v>0</v>
      </c>
      <c r="C68">
        <v>719112410</v>
      </c>
      <c r="D68">
        <v>616362962</v>
      </c>
      <c r="E68">
        <v>169977435</v>
      </c>
      <c r="F68">
        <v>916</v>
      </c>
      <c r="G68">
        <v>352</v>
      </c>
      <c r="H68">
        <v>890</v>
      </c>
      <c r="I68">
        <v>1109</v>
      </c>
      <c r="J68">
        <v>68</v>
      </c>
      <c r="K68">
        <v>3558</v>
      </c>
      <c r="L68">
        <v>1314</v>
      </c>
      <c r="M68">
        <v>5442</v>
      </c>
      <c r="N68">
        <v>0.93597122302158198</v>
      </c>
      <c r="O68">
        <v>1</v>
      </c>
      <c r="P68">
        <v>1</v>
      </c>
      <c r="Q68">
        <v>1</v>
      </c>
      <c r="R68">
        <v>0.98992805755395596</v>
      </c>
    </row>
    <row r="69" spans="1:18" x14ac:dyDescent="0.25">
      <c r="A69">
        <f t="shared" si="1"/>
        <v>7</v>
      </c>
      <c r="B69">
        <v>1</v>
      </c>
      <c r="C69">
        <v>719371589</v>
      </c>
      <c r="D69">
        <v>616686296</v>
      </c>
      <c r="E69">
        <v>211948891</v>
      </c>
      <c r="F69">
        <v>1609</v>
      </c>
      <c r="G69">
        <v>530</v>
      </c>
      <c r="H69">
        <v>1695</v>
      </c>
      <c r="I69">
        <v>1922</v>
      </c>
      <c r="J69">
        <v>95</v>
      </c>
      <c r="K69">
        <v>3390</v>
      </c>
      <c r="L69">
        <v>1650</v>
      </c>
      <c r="M69">
        <v>5247</v>
      </c>
      <c r="N69">
        <v>0.93597122302158198</v>
      </c>
      <c r="O69">
        <v>1</v>
      </c>
      <c r="P69">
        <v>1</v>
      </c>
      <c r="Q69">
        <v>1</v>
      </c>
      <c r="R69">
        <v>0.98992805755395596</v>
      </c>
    </row>
    <row r="70" spans="1:18" x14ac:dyDescent="0.25">
      <c r="A70">
        <f t="shared" si="1"/>
        <v>7</v>
      </c>
      <c r="B70">
        <v>2</v>
      </c>
      <c r="C70">
        <v>711016835</v>
      </c>
      <c r="D70">
        <v>612691813</v>
      </c>
      <c r="E70">
        <v>217117997</v>
      </c>
      <c r="F70">
        <v>2576</v>
      </c>
      <c r="G70">
        <v>803</v>
      </c>
      <c r="H70">
        <v>2473</v>
      </c>
      <c r="I70">
        <v>2893</v>
      </c>
      <c r="J70">
        <v>119</v>
      </c>
      <c r="K70">
        <v>3298</v>
      </c>
      <c r="L70">
        <v>1846</v>
      </c>
      <c r="M70">
        <v>5119</v>
      </c>
      <c r="N70">
        <v>0.89424460431654595</v>
      </c>
      <c r="O70">
        <v>1</v>
      </c>
      <c r="P70">
        <v>1</v>
      </c>
      <c r="Q70">
        <v>1</v>
      </c>
      <c r="R70">
        <v>0.985611510791366</v>
      </c>
    </row>
    <row r="71" spans="1:18" x14ac:dyDescent="0.25">
      <c r="A71">
        <f t="shared" si="1"/>
        <v>7</v>
      </c>
      <c r="B71">
        <v>3</v>
      </c>
      <c r="C71">
        <v>706101004</v>
      </c>
      <c r="D71">
        <v>609989064</v>
      </c>
      <c r="E71">
        <v>202140617</v>
      </c>
      <c r="F71">
        <v>3916</v>
      </c>
      <c r="G71">
        <v>1116</v>
      </c>
      <c r="H71">
        <v>3625</v>
      </c>
      <c r="I71">
        <v>3893</v>
      </c>
      <c r="J71">
        <v>128</v>
      </c>
      <c r="K71">
        <v>3279</v>
      </c>
      <c r="L71">
        <v>1946</v>
      </c>
      <c r="M71">
        <v>5029</v>
      </c>
      <c r="N71">
        <v>0.86834532374100704</v>
      </c>
      <c r="O71">
        <v>1</v>
      </c>
      <c r="P71">
        <v>1</v>
      </c>
      <c r="Q71">
        <v>1</v>
      </c>
      <c r="R71">
        <v>0.98345323741007196</v>
      </c>
    </row>
    <row r="72" spans="1:18" x14ac:dyDescent="0.25">
      <c r="A72">
        <f t="shared" si="1"/>
        <v>7</v>
      </c>
      <c r="B72">
        <v>4</v>
      </c>
      <c r="C72">
        <v>702377467</v>
      </c>
      <c r="D72">
        <v>611550823</v>
      </c>
      <c r="E72">
        <v>198564944</v>
      </c>
      <c r="F72">
        <v>4797</v>
      </c>
      <c r="G72">
        <v>1306</v>
      </c>
      <c r="H72">
        <v>4868</v>
      </c>
      <c r="I72">
        <v>4874</v>
      </c>
      <c r="J72">
        <v>142</v>
      </c>
      <c r="K72">
        <v>3238</v>
      </c>
      <c r="L72">
        <v>2151</v>
      </c>
      <c r="M72">
        <v>4851</v>
      </c>
      <c r="N72">
        <v>0.84172661870503596</v>
      </c>
      <c r="O72">
        <v>1</v>
      </c>
      <c r="P72">
        <v>1</v>
      </c>
      <c r="Q72">
        <v>1</v>
      </c>
      <c r="R72">
        <v>0.98273381294964002</v>
      </c>
    </row>
    <row r="73" spans="1:18" x14ac:dyDescent="0.25">
      <c r="A73">
        <f t="shared" si="1"/>
        <v>7</v>
      </c>
      <c r="B73">
        <v>5</v>
      </c>
      <c r="C73">
        <v>704072463</v>
      </c>
      <c r="D73">
        <v>616726463</v>
      </c>
      <c r="E73">
        <v>168657807</v>
      </c>
      <c r="F73">
        <v>5695</v>
      </c>
      <c r="G73">
        <v>1510</v>
      </c>
      <c r="H73">
        <v>5694</v>
      </c>
      <c r="I73">
        <v>5527</v>
      </c>
      <c r="J73">
        <v>156</v>
      </c>
      <c r="K73">
        <v>3197</v>
      </c>
      <c r="L73">
        <v>2327</v>
      </c>
      <c r="M73">
        <v>4702</v>
      </c>
      <c r="N73">
        <v>0.81438848920863305</v>
      </c>
      <c r="O73">
        <v>1</v>
      </c>
      <c r="P73">
        <v>1</v>
      </c>
      <c r="Q73">
        <v>1</v>
      </c>
      <c r="R73">
        <v>0.98129496402877703</v>
      </c>
    </row>
    <row r="74" spans="1:18" x14ac:dyDescent="0.25">
      <c r="A74">
        <f t="shared" si="1"/>
        <v>7</v>
      </c>
      <c r="B74">
        <v>6</v>
      </c>
      <c r="C74">
        <v>701542711</v>
      </c>
      <c r="D74">
        <v>618246902</v>
      </c>
      <c r="E74">
        <v>157918285</v>
      </c>
      <c r="F74">
        <v>6147</v>
      </c>
      <c r="G74">
        <v>1839</v>
      </c>
      <c r="H74">
        <v>6269</v>
      </c>
      <c r="I74">
        <v>5953</v>
      </c>
      <c r="J74">
        <v>181</v>
      </c>
      <c r="K74">
        <v>3113</v>
      </c>
      <c r="L74">
        <v>2524</v>
      </c>
      <c r="M74">
        <v>4564</v>
      </c>
      <c r="N74">
        <v>0.79208633093525105</v>
      </c>
      <c r="O74">
        <v>1</v>
      </c>
      <c r="P74">
        <v>1</v>
      </c>
      <c r="Q74">
        <v>1</v>
      </c>
      <c r="R74">
        <v>0.97985611510791304</v>
      </c>
    </row>
    <row r="75" spans="1:18" x14ac:dyDescent="0.25">
      <c r="A75">
        <f t="shared" si="1"/>
        <v>7</v>
      </c>
      <c r="B75">
        <v>7</v>
      </c>
      <c r="C75">
        <v>703525360</v>
      </c>
      <c r="D75">
        <v>620375309</v>
      </c>
      <c r="E75">
        <v>171810774</v>
      </c>
      <c r="F75">
        <v>6357</v>
      </c>
      <c r="G75">
        <v>2135</v>
      </c>
      <c r="H75">
        <v>6372</v>
      </c>
      <c r="I75">
        <v>6155</v>
      </c>
      <c r="J75">
        <v>225</v>
      </c>
      <c r="K75">
        <v>3047</v>
      </c>
      <c r="L75">
        <v>2792</v>
      </c>
      <c r="M75">
        <v>4318</v>
      </c>
      <c r="N75">
        <v>0.76258992805755399</v>
      </c>
      <c r="O75">
        <v>1</v>
      </c>
      <c r="P75">
        <v>1</v>
      </c>
      <c r="Q75">
        <v>1</v>
      </c>
      <c r="R75">
        <v>0.97841726618705005</v>
      </c>
    </row>
    <row r="76" spans="1:18" x14ac:dyDescent="0.25">
      <c r="A76">
        <f t="shared" si="1"/>
        <v>7</v>
      </c>
      <c r="B76">
        <v>8</v>
      </c>
      <c r="C76">
        <v>706586035</v>
      </c>
      <c r="D76">
        <v>623727086</v>
      </c>
      <c r="E76">
        <v>176156095</v>
      </c>
      <c r="F76">
        <v>6510</v>
      </c>
      <c r="G76">
        <v>2363</v>
      </c>
      <c r="H76">
        <v>6515</v>
      </c>
      <c r="I76">
        <v>6424</v>
      </c>
      <c r="J76">
        <v>252</v>
      </c>
      <c r="K76">
        <v>2996</v>
      </c>
      <c r="L76">
        <v>2925</v>
      </c>
      <c r="M76">
        <v>4209</v>
      </c>
      <c r="N76">
        <v>0.73237410071942399</v>
      </c>
      <c r="O76">
        <v>1</v>
      </c>
      <c r="P76">
        <v>1</v>
      </c>
      <c r="Q76">
        <v>1</v>
      </c>
      <c r="R76">
        <v>0.97625899280575501</v>
      </c>
    </row>
    <row r="77" spans="1:18" x14ac:dyDescent="0.25">
      <c r="A77">
        <f t="shared" si="1"/>
        <v>7</v>
      </c>
      <c r="B77">
        <v>9</v>
      </c>
      <c r="C77">
        <v>705480776</v>
      </c>
      <c r="D77">
        <v>624191242</v>
      </c>
      <c r="E77">
        <v>172012144</v>
      </c>
      <c r="F77">
        <v>6599</v>
      </c>
      <c r="G77">
        <v>2462</v>
      </c>
      <c r="H77">
        <v>6529</v>
      </c>
      <c r="I77">
        <v>6522</v>
      </c>
      <c r="J77">
        <v>274</v>
      </c>
      <c r="K77">
        <v>2966</v>
      </c>
      <c r="L77">
        <v>3107</v>
      </c>
      <c r="M77">
        <v>4035</v>
      </c>
      <c r="N77">
        <v>0.71366906474820102</v>
      </c>
      <c r="O77">
        <v>1</v>
      </c>
      <c r="P77">
        <v>1</v>
      </c>
      <c r="Q77">
        <v>1</v>
      </c>
      <c r="R77">
        <v>0.97482014388489202</v>
      </c>
    </row>
    <row r="78" spans="1:18" x14ac:dyDescent="0.25">
      <c r="A78">
        <f t="shared" ref="A78:A141" si="2">A67+1</f>
        <v>7</v>
      </c>
      <c r="B78">
        <v>10</v>
      </c>
      <c r="C78">
        <v>709335311</v>
      </c>
      <c r="D78">
        <v>627157418</v>
      </c>
      <c r="E78">
        <v>186689146</v>
      </c>
      <c r="F78">
        <v>6582</v>
      </c>
      <c r="G78">
        <v>2591</v>
      </c>
      <c r="H78">
        <v>6445</v>
      </c>
      <c r="I78">
        <v>6427</v>
      </c>
      <c r="J78">
        <v>274</v>
      </c>
      <c r="K78">
        <v>2931</v>
      </c>
      <c r="L78">
        <v>3301</v>
      </c>
      <c r="M78">
        <v>3876</v>
      </c>
      <c r="N78">
        <v>0.69136690647482002</v>
      </c>
      <c r="O78">
        <v>1</v>
      </c>
      <c r="P78">
        <v>1</v>
      </c>
      <c r="Q78">
        <v>1</v>
      </c>
      <c r="R78">
        <v>0.97338129496402803</v>
      </c>
    </row>
    <row r="79" spans="1:18" x14ac:dyDescent="0.25">
      <c r="A79">
        <f t="shared" si="2"/>
        <v>8</v>
      </c>
      <c r="B79">
        <v>0</v>
      </c>
      <c r="C79">
        <v>719112410</v>
      </c>
      <c r="D79">
        <v>616362962</v>
      </c>
      <c r="E79">
        <v>169977435</v>
      </c>
      <c r="F79">
        <v>916</v>
      </c>
      <c r="G79">
        <v>352</v>
      </c>
      <c r="H79">
        <v>890</v>
      </c>
      <c r="I79">
        <v>1109</v>
      </c>
      <c r="J79">
        <v>68</v>
      </c>
      <c r="K79">
        <v>3558</v>
      </c>
      <c r="L79">
        <v>1314</v>
      </c>
      <c r="M79">
        <v>5442</v>
      </c>
      <c r="N79">
        <v>0.93597122302158198</v>
      </c>
      <c r="O79">
        <v>1</v>
      </c>
      <c r="P79">
        <v>1</v>
      </c>
      <c r="Q79">
        <v>1</v>
      </c>
      <c r="R79">
        <v>0.98992805755395596</v>
      </c>
    </row>
    <row r="80" spans="1:18" x14ac:dyDescent="0.25">
      <c r="A80">
        <f t="shared" si="2"/>
        <v>8</v>
      </c>
      <c r="B80">
        <v>1</v>
      </c>
      <c r="C80">
        <v>719371589</v>
      </c>
      <c r="D80">
        <v>616686296</v>
      </c>
      <c r="E80">
        <v>218444423</v>
      </c>
      <c r="F80">
        <v>1825</v>
      </c>
      <c r="G80">
        <v>572</v>
      </c>
      <c r="H80">
        <v>1709</v>
      </c>
      <c r="I80">
        <v>1846</v>
      </c>
      <c r="J80">
        <v>82</v>
      </c>
      <c r="K80">
        <v>3395</v>
      </c>
      <c r="L80">
        <v>1647</v>
      </c>
      <c r="M80">
        <v>5258</v>
      </c>
      <c r="N80">
        <v>0.93597122302158198</v>
      </c>
      <c r="O80">
        <v>1</v>
      </c>
      <c r="P80">
        <v>1</v>
      </c>
      <c r="Q80">
        <v>1</v>
      </c>
      <c r="R80">
        <v>0.98992805755395596</v>
      </c>
    </row>
    <row r="81" spans="1:18" x14ac:dyDescent="0.25">
      <c r="A81">
        <f t="shared" si="2"/>
        <v>8</v>
      </c>
      <c r="B81">
        <v>2</v>
      </c>
      <c r="C81">
        <v>711293958</v>
      </c>
      <c r="D81">
        <v>612176553</v>
      </c>
      <c r="E81">
        <v>225985479</v>
      </c>
      <c r="F81">
        <v>2727</v>
      </c>
      <c r="G81">
        <v>782</v>
      </c>
      <c r="H81">
        <v>2691</v>
      </c>
      <c r="I81">
        <v>2795</v>
      </c>
      <c r="J81">
        <v>113</v>
      </c>
      <c r="K81">
        <v>3286</v>
      </c>
      <c r="L81">
        <v>1922</v>
      </c>
      <c r="M81">
        <v>5061</v>
      </c>
      <c r="N81">
        <v>0.88920863309352505</v>
      </c>
      <c r="O81">
        <v>1</v>
      </c>
      <c r="P81">
        <v>1</v>
      </c>
      <c r="Q81">
        <v>1</v>
      </c>
      <c r="R81">
        <v>0.98776978417266104</v>
      </c>
    </row>
    <row r="82" spans="1:18" x14ac:dyDescent="0.25">
      <c r="A82">
        <f t="shared" si="2"/>
        <v>8</v>
      </c>
      <c r="B82">
        <v>3</v>
      </c>
      <c r="C82">
        <v>707971612</v>
      </c>
      <c r="D82">
        <v>612062431</v>
      </c>
      <c r="E82">
        <v>211506436</v>
      </c>
      <c r="F82">
        <v>3844</v>
      </c>
      <c r="G82">
        <v>979</v>
      </c>
      <c r="H82">
        <v>3817</v>
      </c>
      <c r="I82">
        <v>3804</v>
      </c>
      <c r="J82">
        <v>123</v>
      </c>
      <c r="K82">
        <v>3178</v>
      </c>
      <c r="L82">
        <v>2148</v>
      </c>
      <c r="M82">
        <v>4933</v>
      </c>
      <c r="N82">
        <v>0.850359712230215</v>
      </c>
      <c r="O82">
        <v>1</v>
      </c>
      <c r="P82">
        <v>1</v>
      </c>
      <c r="Q82">
        <v>1</v>
      </c>
      <c r="R82">
        <v>0.98633093525179805</v>
      </c>
    </row>
    <row r="83" spans="1:18" x14ac:dyDescent="0.25">
      <c r="A83">
        <f t="shared" si="2"/>
        <v>8</v>
      </c>
      <c r="B83">
        <v>4</v>
      </c>
      <c r="C83">
        <v>700837304</v>
      </c>
      <c r="D83">
        <v>610012762</v>
      </c>
      <c r="E83">
        <v>190706182</v>
      </c>
      <c r="F83">
        <v>4630</v>
      </c>
      <c r="G83">
        <v>1357</v>
      </c>
      <c r="H83">
        <v>5007</v>
      </c>
      <c r="I83">
        <v>4597</v>
      </c>
      <c r="J83">
        <v>144</v>
      </c>
      <c r="K83">
        <v>3117</v>
      </c>
      <c r="L83">
        <v>2361</v>
      </c>
      <c r="M83">
        <v>4760</v>
      </c>
      <c r="N83">
        <v>0.81942446043165396</v>
      </c>
      <c r="O83">
        <v>1</v>
      </c>
      <c r="P83">
        <v>1</v>
      </c>
      <c r="Q83">
        <v>1</v>
      </c>
      <c r="R83">
        <v>0.98489208633093495</v>
      </c>
    </row>
    <row r="84" spans="1:18" x14ac:dyDescent="0.25">
      <c r="A84">
        <f t="shared" si="2"/>
        <v>8</v>
      </c>
      <c r="B84">
        <v>5</v>
      </c>
      <c r="C84">
        <v>699970209</v>
      </c>
      <c r="D84">
        <v>613175588</v>
      </c>
      <c r="E84">
        <v>180034592</v>
      </c>
      <c r="F84">
        <v>5283</v>
      </c>
      <c r="G84">
        <v>1578</v>
      </c>
      <c r="H84">
        <v>5708</v>
      </c>
      <c r="I84">
        <v>5280</v>
      </c>
      <c r="J84">
        <v>143</v>
      </c>
      <c r="K84">
        <v>3044</v>
      </c>
      <c r="L84">
        <v>2475</v>
      </c>
      <c r="M84">
        <v>4720</v>
      </c>
      <c r="N84">
        <v>0.79280575539568299</v>
      </c>
      <c r="O84">
        <v>1</v>
      </c>
      <c r="P84">
        <v>1</v>
      </c>
      <c r="Q84">
        <v>1</v>
      </c>
      <c r="R84">
        <v>0.98273381294964002</v>
      </c>
    </row>
    <row r="85" spans="1:18" x14ac:dyDescent="0.25">
      <c r="A85">
        <f t="shared" si="2"/>
        <v>8</v>
      </c>
      <c r="B85">
        <v>6</v>
      </c>
      <c r="C85">
        <v>699319445</v>
      </c>
      <c r="D85">
        <v>614636339</v>
      </c>
      <c r="E85">
        <v>196494553</v>
      </c>
      <c r="F85">
        <v>5669</v>
      </c>
      <c r="G85">
        <v>1814</v>
      </c>
      <c r="H85">
        <v>6040</v>
      </c>
      <c r="I85">
        <v>5775</v>
      </c>
      <c r="J85">
        <v>168</v>
      </c>
      <c r="K85">
        <v>2932</v>
      </c>
      <c r="L85">
        <v>2805</v>
      </c>
      <c r="M85">
        <v>4477</v>
      </c>
      <c r="N85">
        <v>0.769064748201438</v>
      </c>
      <c r="O85">
        <v>1</v>
      </c>
      <c r="P85">
        <v>1</v>
      </c>
      <c r="Q85">
        <v>1</v>
      </c>
      <c r="R85">
        <v>0.98201438848920797</v>
      </c>
    </row>
    <row r="86" spans="1:18" x14ac:dyDescent="0.25">
      <c r="A86">
        <f t="shared" si="2"/>
        <v>8</v>
      </c>
      <c r="B86">
        <v>7</v>
      </c>
      <c r="C86">
        <v>694393557</v>
      </c>
      <c r="D86">
        <v>611956959</v>
      </c>
      <c r="E86">
        <v>202781018</v>
      </c>
      <c r="F86">
        <v>5985</v>
      </c>
      <c r="G86">
        <v>1982</v>
      </c>
      <c r="H86">
        <v>6317</v>
      </c>
      <c r="I86">
        <v>6303</v>
      </c>
      <c r="J86">
        <v>175</v>
      </c>
      <c r="K86">
        <v>2874</v>
      </c>
      <c r="L86">
        <v>2939</v>
      </c>
      <c r="M86">
        <v>4394</v>
      </c>
      <c r="N86">
        <v>0.73381294964028698</v>
      </c>
      <c r="O86">
        <v>1</v>
      </c>
      <c r="P86">
        <v>1</v>
      </c>
      <c r="Q86">
        <v>1</v>
      </c>
      <c r="R86">
        <v>0.97985611510791304</v>
      </c>
    </row>
    <row r="87" spans="1:18" x14ac:dyDescent="0.25">
      <c r="A87">
        <f t="shared" si="2"/>
        <v>8</v>
      </c>
      <c r="B87">
        <v>8</v>
      </c>
      <c r="C87">
        <v>694460901</v>
      </c>
      <c r="D87">
        <v>614157549</v>
      </c>
      <c r="E87">
        <v>198023978</v>
      </c>
      <c r="F87">
        <v>6249</v>
      </c>
      <c r="G87">
        <v>2226</v>
      </c>
      <c r="H87">
        <v>6337</v>
      </c>
      <c r="I87">
        <v>6401</v>
      </c>
      <c r="J87">
        <v>204</v>
      </c>
      <c r="K87">
        <v>2840</v>
      </c>
      <c r="L87">
        <v>3116</v>
      </c>
      <c r="M87">
        <v>4222</v>
      </c>
      <c r="N87">
        <v>0.71007194244604299</v>
      </c>
      <c r="O87">
        <v>1</v>
      </c>
      <c r="P87">
        <v>1</v>
      </c>
      <c r="Q87">
        <v>1</v>
      </c>
      <c r="R87">
        <v>0.97841726618705005</v>
      </c>
    </row>
    <row r="88" spans="1:18" x14ac:dyDescent="0.25">
      <c r="A88">
        <f t="shared" si="2"/>
        <v>8</v>
      </c>
      <c r="B88">
        <v>9</v>
      </c>
      <c r="C88">
        <v>696649711</v>
      </c>
      <c r="D88">
        <v>617536393</v>
      </c>
      <c r="E88">
        <v>210907955</v>
      </c>
      <c r="F88">
        <v>6356</v>
      </c>
      <c r="G88">
        <v>2298</v>
      </c>
      <c r="H88">
        <v>6372</v>
      </c>
      <c r="I88">
        <v>6404</v>
      </c>
      <c r="J88">
        <v>222</v>
      </c>
      <c r="K88">
        <v>2797</v>
      </c>
      <c r="L88">
        <v>3260</v>
      </c>
      <c r="M88">
        <v>4103</v>
      </c>
      <c r="N88">
        <v>0.69136690647482002</v>
      </c>
      <c r="O88">
        <v>1</v>
      </c>
      <c r="P88">
        <v>1</v>
      </c>
      <c r="Q88">
        <v>1</v>
      </c>
      <c r="R88">
        <v>0.97625899280575501</v>
      </c>
    </row>
    <row r="89" spans="1:18" x14ac:dyDescent="0.25">
      <c r="A89">
        <f t="shared" si="2"/>
        <v>8</v>
      </c>
      <c r="B89">
        <v>10</v>
      </c>
      <c r="C89">
        <v>697255366</v>
      </c>
      <c r="D89">
        <v>616091482</v>
      </c>
      <c r="E89">
        <v>209039230</v>
      </c>
      <c r="F89">
        <v>6330</v>
      </c>
      <c r="G89">
        <v>2290</v>
      </c>
      <c r="H89">
        <v>6298</v>
      </c>
      <c r="I89">
        <v>6392</v>
      </c>
      <c r="J89">
        <v>237</v>
      </c>
      <c r="K89">
        <v>2682</v>
      </c>
      <c r="L89">
        <v>3462</v>
      </c>
      <c r="M89">
        <v>4001</v>
      </c>
      <c r="N89">
        <v>0.66330935251798495</v>
      </c>
      <c r="O89">
        <v>1</v>
      </c>
      <c r="P89">
        <v>1</v>
      </c>
      <c r="Q89">
        <v>1</v>
      </c>
      <c r="R89">
        <v>0.97266187050359698</v>
      </c>
    </row>
    <row r="90" spans="1:18" x14ac:dyDescent="0.25">
      <c r="A90">
        <f t="shared" si="2"/>
        <v>9</v>
      </c>
      <c r="B90">
        <v>0</v>
      </c>
      <c r="C90">
        <v>719112410</v>
      </c>
      <c r="D90">
        <v>616362962</v>
      </c>
      <c r="E90">
        <v>169977435</v>
      </c>
      <c r="F90">
        <v>916</v>
      </c>
      <c r="G90">
        <v>352</v>
      </c>
      <c r="H90">
        <v>890</v>
      </c>
      <c r="I90">
        <v>1109</v>
      </c>
      <c r="J90">
        <v>68</v>
      </c>
      <c r="K90">
        <v>3558</v>
      </c>
      <c r="L90">
        <v>1314</v>
      </c>
      <c r="M90">
        <v>5442</v>
      </c>
      <c r="N90">
        <v>0.93597122302158198</v>
      </c>
      <c r="O90">
        <v>1</v>
      </c>
      <c r="P90">
        <v>1</v>
      </c>
      <c r="Q90">
        <v>1</v>
      </c>
      <c r="R90">
        <v>0.98992805755395596</v>
      </c>
    </row>
    <row r="91" spans="1:18" x14ac:dyDescent="0.25">
      <c r="A91">
        <f t="shared" si="2"/>
        <v>9</v>
      </c>
      <c r="B91">
        <v>1</v>
      </c>
      <c r="C91">
        <v>719371589</v>
      </c>
      <c r="D91">
        <v>616686296</v>
      </c>
      <c r="E91">
        <v>221657683</v>
      </c>
      <c r="F91">
        <v>1684</v>
      </c>
      <c r="G91">
        <v>581</v>
      </c>
      <c r="H91">
        <v>1711</v>
      </c>
      <c r="I91">
        <v>1752</v>
      </c>
      <c r="J91">
        <v>79</v>
      </c>
      <c r="K91">
        <v>3423</v>
      </c>
      <c r="L91">
        <v>1637</v>
      </c>
      <c r="M91">
        <v>5243</v>
      </c>
      <c r="N91">
        <v>0.93597122302158198</v>
      </c>
      <c r="O91">
        <v>1</v>
      </c>
      <c r="P91">
        <v>1</v>
      </c>
      <c r="Q91">
        <v>1</v>
      </c>
      <c r="R91">
        <v>0.98992805755395596</v>
      </c>
    </row>
    <row r="92" spans="1:18" x14ac:dyDescent="0.25">
      <c r="A92">
        <f t="shared" si="2"/>
        <v>9</v>
      </c>
      <c r="B92">
        <v>2</v>
      </c>
      <c r="C92">
        <v>713718463</v>
      </c>
      <c r="D92">
        <v>614107965</v>
      </c>
      <c r="E92">
        <v>213291477</v>
      </c>
      <c r="F92">
        <v>2595</v>
      </c>
      <c r="G92">
        <v>812</v>
      </c>
      <c r="H92">
        <v>2591</v>
      </c>
      <c r="I92">
        <v>2651</v>
      </c>
      <c r="J92">
        <v>128</v>
      </c>
      <c r="K92">
        <v>3348</v>
      </c>
      <c r="L92">
        <v>1818</v>
      </c>
      <c r="M92">
        <v>5088</v>
      </c>
      <c r="N92">
        <v>0.888489208633093</v>
      </c>
      <c r="O92">
        <v>1</v>
      </c>
      <c r="P92">
        <v>1</v>
      </c>
      <c r="Q92">
        <v>1</v>
      </c>
      <c r="R92">
        <v>0.98920863309352502</v>
      </c>
    </row>
    <row r="93" spans="1:18" x14ac:dyDescent="0.25">
      <c r="A93">
        <f t="shared" si="2"/>
        <v>9</v>
      </c>
      <c r="B93">
        <v>3</v>
      </c>
      <c r="C93">
        <v>711149026</v>
      </c>
      <c r="D93">
        <v>614347828</v>
      </c>
      <c r="E93">
        <v>205950109</v>
      </c>
      <c r="F93">
        <v>3704</v>
      </c>
      <c r="G93">
        <v>1040</v>
      </c>
      <c r="H93">
        <v>3817</v>
      </c>
      <c r="I93">
        <v>3572</v>
      </c>
      <c r="J93">
        <v>136</v>
      </c>
      <c r="K93">
        <v>3317</v>
      </c>
      <c r="L93">
        <v>1968</v>
      </c>
      <c r="M93">
        <v>4961</v>
      </c>
      <c r="N93">
        <v>0.866187050359712</v>
      </c>
      <c r="O93">
        <v>1</v>
      </c>
      <c r="P93">
        <v>1</v>
      </c>
      <c r="Q93">
        <v>1</v>
      </c>
      <c r="R93">
        <v>0.985611510791366</v>
      </c>
    </row>
    <row r="94" spans="1:18" x14ac:dyDescent="0.25">
      <c r="A94">
        <f t="shared" si="2"/>
        <v>9</v>
      </c>
      <c r="B94">
        <v>4</v>
      </c>
      <c r="C94">
        <v>708476225</v>
      </c>
      <c r="D94">
        <v>616300441</v>
      </c>
      <c r="E94">
        <v>185178698</v>
      </c>
      <c r="F94">
        <v>4727</v>
      </c>
      <c r="G94">
        <v>1392</v>
      </c>
      <c r="H94">
        <v>4950</v>
      </c>
      <c r="I94">
        <v>4612</v>
      </c>
      <c r="J94">
        <v>132</v>
      </c>
      <c r="K94">
        <v>3220</v>
      </c>
      <c r="L94">
        <v>2157</v>
      </c>
      <c r="M94">
        <v>4873</v>
      </c>
      <c r="N94">
        <v>0.83669064748201405</v>
      </c>
      <c r="O94">
        <v>1</v>
      </c>
      <c r="P94">
        <v>1</v>
      </c>
      <c r="Q94">
        <v>1</v>
      </c>
      <c r="R94">
        <v>0.98417266187050301</v>
      </c>
    </row>
    <row r="95" spans="1:18" x14ac:dyDescent="0.25">
      <c r="A95">
        <f t="shared" si="2"/>
        <v>9</v>
      </c>
      <c r="B95">
        <v>5</v>
      </c>
      <c r="C95">
        <v>707073472</v>
      </c>
      <c r="D95">
        <v>619258188</v>
      </c>
      <c r="E95">
        <v>183712297</v>
      </c>
      <c r="F95">
        <v>5473</v>
      </c>
      <c r="G95">
        <v>1648</v>
      </c>
      <c r="H95">
        <v>5611</v>
      </c>
      <c r="I95">
        <v>5490</v>
      </c>
      <c r="J95">
        <v>174</v>
      </c>
      <c r="K95">
        <v>3192</v>
      </c>
      <c r="L95">
        <v>2361</v>
      </c>
      <c r="M95">
        <v>4655</v>
      </c>
      <c r="N95">
        <v>0.805755395683453</v>
      </c>
      <c r="O95">
        <v>1</v>
      </c>
      <c r="P95">
        <v>1</v>
      </c>
      <c r="Q95">
        <v>1</v>
      </c>
      <c r="R95">
        <v>0.98417266187050301</v>
      </c>
    </row>
    <row r="96" spans="1:18" x14ac:dyDescent="0.25">
      <c r="A96">
        <f t="shared" si="2"/>
        <v>9</v>
      </c>
      <c r="B96">
        <v>6</v>
      </c>
      <c r="C96">
        <v>703829736</v>
      </c>
      <c r="D96">
        <v>618980786</v>
      </c>
      <c r="E96">
        <v>183805143</v>
      </c>
      <c r="F96">
        <v>6067</v>
      </c>
      <c r="G96">
        <v>1869</v>
      </c>
      <c r="H96">
        <v>6190</v>
      </c>
      <c r="I96">
        <v>6063</v>
      </c>
      <c r="J96">
        <v>189</v>
      </c>
      <c r="K96">
        <v>3124</v>
      </c>
      <c r="L96">
        <v>2509</v>
      </c>
      <c r="M96">
        <v>4560</v>
      </c>
      <c r="N96">
        <v>0.77841726618704998</v>
      </c>
      <c r="O96">
        <v>1</v>
      </c>
      <c r="P96">
        <v>1</v>
      </c>
      <c r="Q96">
        <v>1</v>
      </c>
      <c r="R96">
        <v>0.98129496402877703</v>
      </c>
    </row>
    <row r="97" spans="1:18" x14ac:dyDescent="0.25">
      <c r="A97">
        <f t="shared" si="2"/>
        <v>9</v>
      </c>
      <c r="B97">
        <v>7</v>
      </c>
      <c r="C97">
        <v>704222554</v>
      </c>
      <c r="D97">
        <v>621946100</v>
      </c>
      <c r="E97">
        <v>184277590</v>
      </c>
      <c r="F97">
        <v>6323</v>
      </c>
      <c r="G97">
        <v>2088</v>
      </c>
      <c r="H97">
        <v>6440</v>
      </c>
      <c r="I97">
        <v>6285</v>
      </c>
      <c r="J97">
        <v>199</v>
      </c>
      <c r="K97">
        <v>3067</v>
      </c>
      <c r="L97">
        <v>2749</v>
      </c>
      <c r="M97">
        <v>4367</v>
      </c>
      <c r="N97">
        <v>0.75827338129496402</v>
      </c>
      <c r="O97">
        <v>1</v>
      </c>
      <c r="P97">
        <v>1</v>
      </c>
      <c r="Q97">
        <v>1</v>
      </c>
      <c r="R97">
        <v>0.97841726618705005</v>
      </c>
    </row>
    <row r="98" spans="1:18" x14ac:dyDescent="0.25">
      <c r="A98">
        <f t="shared" si="2"/>
        <v>9</v>
      </c>
      <c r="B98">
        <v>8</v>
      </c>
      <c r="C98">
        <v>704840810</v>
      </c>
      <c r="D98">
        <v>623067016</v>
      </c>
      <c r="E98">
        <v>189308913</v>
      </c>
      <c r="F98">
        <v>6429</v>
      </c>
      <c r="G98">
        <v>2286</v>
      </c>
      <c r="H98">
        <v>6472</v>
      </c>
      <c r="I98">
        <v>6450</v>
      </c>
      <c r="J98">
        <v>234</v>
      </c>
      <c r="K98">
        <v>2971</v>
      </c>
      <c r="L98">
        <v>2981</v>
      </c>
      <c r="M98">
        <v>4196</v>
      </c>
      <c r="N98">
        <v>0.72661870503597104</v>
      </c>
      <c r="O98">
        <v>1</v>
      </c>
      <c r="P98">
        <v>1</v>
      </c>
      <c r="Q98">
        <v>1</v>
      </c>
      <c r="R98">
        <v>0.97625899280575501</v>
      </c>
    </row>
    <row r="99" spans="1:18" x14ac:dyDescent="0.25">
      <c r="A99">
        <f t="shared" si="2"/>
        <v>9</v>
      </c>
      <c r="B99">
        <v>9</v>
      </c>
      <c r="C99">
        <v>703441715</v>
      </c>
      <c r="D99">
        <v>622780120</v>
      </c>
      <c r="E99">
        <v>198946387</v>
      </c>
      <c r="F99">
        <v>6523</v>
      </c>
      <c r="G99">
        <v>2385</v>
      </c>
      <c r="H99">
        <v>6514</v>
      </c>
      <c r="I99">
        <v>6525</v>
      </c>
      <c r="J99">
        <v>256</v>
      </c>
      <c r="K99">
        <v>2902</v>
      </c>
      <c r="L99">
        <v>3138</v>
      </c>
      <c r="M99">
        <v>4086</v>
      </c>
      <c r="N99">
        <v>0.702158273381295</v>
      </c>
      <c r="O99">
        <v>1</v>
      </c>
      <c r="P99">
        <v>1</v>
      </c>
      <c r="Q99">
        <v>1</v>
      </c>
      <c r="R99">
        <v>0.97194244604316504</v>
      </c>
    </row>
    <row r="100" spans="1:18" x14ac:dyDescent="0.25">
      <c r="A100">
        <f t="shared" si="2"/>
        <v>9</v>
      </c>
      <c r="B100">
        <v>10</v>
      </c>
      <c r="C100">
        <v>703159134</v>
      </c>
      <c r="D100">
        <v>621846165</v>
      </c>
      <c r="E100">
        <v>186712946</v>
      </c>
      <c r="F100">
        <v>6407</v>
      </c>
      <c r="G100">
        <v>2407</v>
      </c>
      <c r="H100">
        <v>6381</v>
      </c>
      <c r="I100">
        <v>6479</v>
      </c>
      <c r="J100">
        <v>250</v>
      </c>
      <c r="K100">
        <v>2828</v>
      </c>
      <c r="L100">
        <v>3367</v>
      </c>
      <c r="M100">
        <v>3937</v>
      </c>
      <c r="N100">
        <v>0.67769784172661796</v>
      </c>
      <c r="O100">
        <v>1</v>
      </c>
      <c r="P100">
        <v>1</v>
      </c>
      <c r="Q100">
        <v>1</v>
      </c>
      <c r="R100">
        <v>0.97194244604316504</v>
      </c>
    </row>
    <row r="101" spans="1:18" x14ac:dyDescent="0.25">
      <c r="A101">
        <f t="shared" si="2"/>
        <v>10</v>
      </c>
      <c r="B101">
        <v>0</v>
      </c>
      <c r="C101">
        <v>719112410</v>
      </c>
      <c r="D101">
        <v>616362962</v>
      </c>
      <c r="E101">
        <v>169977435</v>
      </c>
      <c r="F101">
        <v>916</v>
      </c>
      <c r="G101">
        <v>352</v>
      </c>
      <c r="H101">
        <v>890</v>
      </c>
      <c r="I101">
        <v>1109</v>
      </c>
      <c r="J101">
        <v>68</v>
      </c>
      <c r="K101">
        <v>3558</v>
      </c>
      <c r="L101">
        <v>1314</v>
      </c>
      <c r="M101">
        <v>5442</v>
      </c>
      <c r="N101">
        <v>0.93597122302158198</v>
      </c>
      <c r="O101">
        <v>1</v>
      </c>
      <c r="P101">
        <v>1</v>
      </c>
      <c r="Q101">
        <v>1</v>
      </c>
      <c r="R101">
        <v>0.98992805755395596</v>
      </c>
    </row>
    <row r="102" spans="1:18" x14ac:dyDescent="0.25">
      <c r="A102">
        <f t="shared" si="2"/>
        <v>10</v>
      </c>
      <c r="B102">
        <v>1</v>
      </c>
      <c r="C102">
        <v>719371589</v>
      </c>
      <c r="D102">
        <v>616686296</v>
      </c>
      <c r="E102">
        <v>218964267</v>
      </c>
      <c r="F102">
        <v>1700</v>
      </c>
      <c r="G102">
        <v>609</v>
      </c>
      <c r="H102">
        <v>1587</v>
      </c>
      <c r="I102">
        <v>1779</v>
      </c>
      <c r="J102">
        <v>88</v>
      </c>
      <c r="K102">
        <v>3423</v>
      </c>
      <c r="L102">
        <v>1617</v>
      </c>
      <c r="M102">
        <v>5254</v>
      </c>
      <c r="N102">
        <v>0.93597122302158198</v>
      </c>
      <c r="O102">
        <v>1</v>
      </c>
      <c r="P102">
        <v>1</v>
      </c>
      <c r="Q102">
        <v>1</v>
      </c>
      <c r="R102">
        <v>0.98992805755395596</v>
      </c>
    </row>
    <row r="103" spans="1:18" x14ac:dyDescent="0.25">
      <c r="A103">
        <f t="shared" si="2"/>
        <v>10</v>
      </c>
      <c r="B103">
        <v>2</v>
      </c>
      <c r="C103">
        <v>713145821</v>
      </c>
      <c r="D103">
        <v>612546310</v>
      </c>
      <c r="E103">
        <v>225153254</v>
      </c>
      <c r="F103">
        <v>2523</v>
      </c>
      <c r="G103">
        <v>845</v>
      </c>
      <c r="H103">
        <v>2616</v>
      </c>
      <c r="I103">
        <v>2672</v>
      </c>
      <c r="J103">
        <v>95</v>
      </c>
      <c r="K103">
        <v>3343</v>
      </c>
      <c r="L103">
        <v>1866</v>
      </c>
      <c r="M103">
        <v>5078</v>
      </c>
      <c r="N103">
        <v>0.894964028776978</v>
      </c>
      <c r="O103">
        <v>1</v>
      </c>
      <c r="P103">
        <v>1</v>
      </c>
      <c r="Q103">
        <v>1</v>
      </c>
      <c r="R103">
        <v>0.98776978417266104</v>
      </c>
    </row>
    <row r="104" spans="1:18" x14ac:dyDescent="0.25">
      <c r="A104">
        <f t="shared" si="2"/>
        <v>10</v>
      </c>
      <c r="B104">
        <v>3</v>
      </c>
      <c r="C104">
        <v>711781112</v>
      </c>
      <c r="D104">
        <v>614079623</v>
      </c>
      <c r="E104">
        <v>223569705</v>
      </c>
      <c r="F104">
        <v>3638</v>
      </c>
      <c r="G104">
        <v>1092</v>
      </c>
      <c r="H104">
        <v>3670</v>
      </c>
      <c r="I104">
        <v>3750</v>
      </c>
      <c r="J104">
        <v>116</v>
      </c>
      <c r="K104">
        <v>3261</v>
      </c>
      <c r="L104">
        <v>2042</v>
      </c>
      <c r="M104">
        <v>4963</v>
      </c>
      <c r="N104">
        <v>0.858273381294964</v>
      </c>
      <c r="O104">
        <v>1</v>
      </c>
      <c r="P104">
        <v>1</v>
      </c>
      <c r="Q104">
        <v>1</v>
      </c>
      <c r="R104">
        <v>0.98633093525179805</v>
      </c>
    </row>
    <row r="105" spans="1:18" x14ac:dyDescent="0.25">
      <c r="A105">
        <f t="shared" si="2"/>
        <v>10</v>
      </c>
      <c r="B105">
        <v>4</v>
      </c>
      <c r="C105">
        <v>705230043</v>
      </c>
      <c r="D105">
        <v>614108857</v>
      </c>
      <c r="E105">
        <v>202776195</v>
      </c>
      <c r="F105">
        <v>4642</v>
      </c>
      <c r="G105">
        <v>1400</v>
      </c>
      <c r="H105">
        <v>4772</v>
      </c>
      <c r="I105">
        <v>4693</v>
      </c>
      <c r="J105">
        <v>147</v>
      </c>
      <c r="K105">
        <v>3186</v>
      </c>
      <c r="L105">
        <v>2208</v>
      </c>
      <c r="M105">
        <v>4841</v>
      </c>
      <c r="N105">
        <v>0.83093525179856098</v>
      </c>
      <c r="O105">
        <v>1</v>
      </c>
      <c r="P105">
        <v>1</v>
      </c>
      <c r="Q105">
        <v>1</v>
      </c>
      <c r="R105">
        <v>0.985611510791366</v>
      </c>
    </row>
    <row r="106" spans="1:18" x14ac:dyDescent="0.25">
      <c r="A106">
        <f t="shared" si="2"/>
        <v>10</v>
      </c>
      <c r="B106">
        <v>5</v>
      </c>
      <c r="C106">
        <v>700342153</v>
      </c>
      <c r="D106">
        <v>612956298</v>
      </c>
      <c r="E106">
        <v>170076925</v>
      </c>
      <c r="F106">
        <v>5525</v>
      </c>
      <c r="G106">
        <v>1647</v>
      </c>
      <c r="H106">
        <v>5812</v>
      </c>
      <c r="I106">
        <v>5473</v>
      </c>
      <c r="J106">
        <v>154</v>
      </c>
      <c r="K106">
        <v>3124</v>
      </c>
      <c r="L106">
        <v>2356</v>
      </c>
      <c r="M106">
        <v>4748</v>
      </c>
      <c r="N106">
        <v>0.80503597122302095</v>
      </c>
      <c r="O106">
        <v>1</v>
      </c>
      <c r="P106">
        <v>1</v>
      </c>
      <c r="Q106">
        <v>1</v>
      </c>
      <c r="R106">
        <v>0.98201438848920797</v>
      </c>
    </row>
    <row r="107" spans="1:18" x14ac:dyDescent="0.25">
      <c r="A107">
        <f t="shared" si="2"/>
        <v>10</v>
      </c>
      <c r="B107">
        <v>6</v>
      </c>
      <c r="C107">
        <v>696342501</v>
      </c>
      <c r="D107">
        <v>612624681</v>
      </c>
      <c r="E107">
        <v>173506753</v>
      </c>
      <c r="F107">
        <v>6089</v>
      </c>
      <c r="G107">
        <v>1861</v>
      </c>
      <c r="H107">
        <v>6269</v>
      </c>
      <c r="I107">
        <v>6103</v>
      </c>
      <c r="J107">
        <v>167</v>
      </c>
      <c r="K107">
        <v>3061</v>
      </c>
      <c r="L107">
        <v>2488</v>
      </c>
      <c r="M107">
        <v>4666</v>
      </c>
      <c r="N107">
        <v>0.783453237410071</v>
      </c>
      <c r="O107">
        <v>1</v>
      </c>
      <c r="P107">
        <v>1</v>
      </c>
      <c r="Q107">
        <v>1</v>
      </c>
      <c r="R107">
        <v>0.98057553956834498</v>
      </c>
    </row>
    <row r="108" spans="1:18" x14ac:dyDescent="0.25">
      <c r="A108">
        <f t="shared" si="2"/>
        <v>10</v>
      </c>
      <c r="B108">
        <v>7</v>
      </c>
      <c r="C108">
        <v>693913893</v>
      </c>
      <c r="D108">
        <v>613189710</v>
      </c>
      <c r="E108">
        <v>170759428</v>
      </c>
      <c r="F108">
        <v>6392</v>
      </c>
      <c r="G108">
        <v>2048</v>
      </c>
      <c r="H108">
        <v>6433</v>
      </c>
      <c r="I108">
        <v>6392</v>
      </c>
      <c r="J108">
        <v>184</v>
      </c>
      <c r="K108">
        <v>3014</v>
      </c>
      <c r="L108">
        <v>2663</v>
      </c>
      <c r="M108">
        <v>4521</v>
      </c>
      <c r="N108">
        <v>0.76115107913669</v>
      </c>
      <c r="O108">
        <v>1</v>
      </c>
      <c r="P108">
        <v>1</v>
      </c>
      <c r="Q108">
        <v>1</v>
      </c>
      <c r="R108">
        <v>0.98057553956834498</v>
      </c>
    </row>
    <row r="109" spans="1:18" x14ac:dyDescent="0.25">
      <c r="A109">
        <f t="shared" si="2"/>
        <v>10</v>
      </c>
      <c r="B109">
        <v>8</v>
      </c>
      <c r="C109">
        <v>696244951</v>
      </c>
      <c r="D109">
        <v>615424014</v>
      </c>
      <c r="E109">
        <v>180115926</v>
      </c>
      <c r="F109">
        <v>6531</v>
      </c>
      <c r="G109">
        <v>2260</v>
      </c>
      <c r="H109">
        <v>6681</v>
      </c>
      <c r="I109">
        <v>6559</v>
      </c>
      <c r="J109">
        <v>186</v>
      </c>
      <c r="K109">
        <v>2940</v>
      </c>
      <c r="L109">
        <v>2868</v>
      </c>
      <c r="M109">
        <v>4388</v>
      </c>
      <c r="N109">
        <v>0.72877697841726596</v>
      </c>
      <c r="O109">
        <v>1</v>
      </c>
      <c r="P109">
        <v>1</v>
      </c>
      <c r="Q109">
        <v>1</v>
      </c>
      <c r="R109">
        <v>0.97985611510791304</v>
      </c>
    </row>
    <row r="110" spans="1:18" x14ac:dyDescent="0.25">
      <c r="A110">
        <f t="shared" si="2"/>
        <v>10</v>
      </c>
      <c r="B110">
        <v>9</v>
      </c>
      <c r="C110">
        <v>694820236</v>
      </c>
      <c r="D110">
        <v>616648974</v>
      </c>
      <c r="E110">
        <v>186383426</v>
      </c>
      <c r="F110">
        <v>6546</v>
      </c>
      <c r="G110">
        <v>2295</v>
      </c>
      <c r="H110">
        <v>6660</v>
      </c>
      <c r="I110">
        <v>6638</v>
      </c>
      <c r="J110">
        <v>221</v>
      </c>
      <c r="K110">
        <v>2838</v>
      </c>
      <c r="L110">
        <v>3088</v>
      </c>
      <c r="M110">
        <v>4235</v>
      </c>
      <c r="N110">
        <v>0.7</v>
      </c>
      <c r="O110">
        <v>1</v>
      </c>
      <c r="P110">
        <v>1</v>
      </c>
      <c r="Q110">
        <v>1</v>
      </c>
      <c r="R110">
        <v>0.97913669064748199</v>
      </c>
    </row>
    <row r="111" spans="1:18" x14ac:dyDescent="0.25">
      <c r="A111">
        <f t="shared" si="2"/>
        <v>10</v>
      </c>
      <c r="B111">
        <v>10</v>
      </c>
      <c r="C111">
        <v>693256224</v>
      </c>
      <c r="D111">
        <v>614526337</v>
      </c>
      <c r="E111">
        <v>192230628</v>
      </c>
      <c r="F111">
        <v>6641</v>
      </c>
      <c r="G111">
        <v>2415</v>
      </c>
      <c r="H111">
        <v>6617</v>
      </c>
      <c r="I111">
        <v>6619</v>
      </c>
      <c r="J111">
        <v>230</v>
      </c>
      <c r="K111">
        <v>2834</v>
      </c>
      <c r="L111">
        <v>3194</v>
      </c>
      <c r="M111">
        <v>4124</v>
      </c>
      <c r="N111">
        <v>0.67913669064748206</v>
      </c>
      <c r="O111">
        <v>1</v>
      </c>
      <c r="P111">
        <v>1</v>
      </c>
      <c r="Q111">
        <v>1</v>
      </c>
      <c r="R111">
        <v>0.97553956834532296</v>
      </c>
    </row>
    <row r="112" spans="1:18" x14ac:dyDescent="0.25">
      <c r="A112">
        <f t="shared" si="2"/>
        <v>11</v>
      </c>
      <c r="B112">
        <v>0</v>
      </c>
      <c r="C112">
        <v>719112410</v>
      </c>
      <c r="D112">
        <v>616362962</v>
      </c>
      <c r="E112">
        <v>169977435</v>
      </c>
      <c r="F112">
        <v>916</v>
      </c>
      <c r="G112">
        <v>352</v>
      </c>
      <c r="H112">
        <v>890</v>
      </c>
      <c r="I112">
        <v>1109</v>
      </c>
      <c r="J112">
        <v>68</v>
      </c>
      <c r="K112">
        <v>3558</v>
      </c>
      <c r="L112">
        <v>1314</v>
      </c>
      <c r="M112">
        <v>5442</v>
      </c>
      <c r="N112">
        <v>0.93597122302158198</v>
      </c>
      <c r="O112">
        <v>1</v>
      </c>
      <c r="P112">
        <v>1</v>
      </c>
      <c r="Q112">
        <v>1</v>
      </c>
      <c r="R112">
        <v>0.98992805755395596</v>
      </c>
    </row>
    <row r="113" spans="1:18" x14ac:dyDescent="0.25">
      <c r="A113">
        <f t="shared" si="2"/>
        <v>11</v>
      </c>
      <c r="B113">
        <v>1</v>
      </c>
      <c r="C113">
        <v>719371589</v>
      </c>
      <c r="D113">
        <v>616686296</v>
      </c>
      <c r="E113">
        <v>220889489</v>
      </c>
      <c r="F113">
        <v>1473</v>
      </c>
      <c r="G113">
        <v>538</v>
      </c>
      <c r="H113">
        <v>1547</v>
      </c>
      <c r="I113">
        <v>1749</v>
      </c>
      <c r="J113">
        <v>78</v>
      </c>
      <c r="K113">
        <v>3444</v>
      </c>
      <c r="L113">
        <v>1568</v>
      </c>
      <c r="M113">
        <v>5292</v>
      </c>
      <c r="N113">
        <v>0.93597122302158198</v>
      </c>
      <c r="O113">
        <v>1</v>
      </c>
      <c r="P113">
        <v>1</v>
      </c>
      <c r="Q113">
        <v>1</v>
      </c>
      <c r="R113">
        <v>0.98992805755395596</v>
      </c>
    </row>
    <row r="114" spans="1:18" x14ac:dyDescent="0.25">
      <c r="A114">
        <f t="shared" si="2"/>
        <v>11</v>
      </c>
      <c r="B114">
        <v>2</v>
      </c>
      <c r="C114">
        <v>714472762</v>
      </c>
      <c r="D114">
        <v>615091878</v>
      </c>
      <c r="E114">
        <v>222179892</v>
      </c>
      <c r="F114">
        <v>2004</v>
      </c>
      <c r="G114">
        <v>658</v>
      </c>
      <c r="H114">
        <v>2203</v>
      </c>
      <c r="I114">
        <v>2343</v>
      </c>
      <c r="J114">
        <v>74</v>
      </c>
      <c r="K114">
        <v>3292</v>
      </c>
      <c r="L114">
        <v>1917</v>
      </c>
      <c r="M114">
        <v>5099</v>
      </c>
      <c r="N114">
        <v>0.89856115107913603</v>
      </c>
      <c r="O114">
        <v>1</v>
      </c>
      <c r="P114">
        <v>1</v>
      </c>
      <c r="Q114">
        <v>1</v>
      </c>
      <c r="R114">
        <v>0.98776978417266104</v>
      </c>
    </row>
    <row r="115" spans="1:18" x14ac:dyDescent="0.25">
      <c r="A115">
        <f t="shared" si="2"/>
        <v>11</v>
      </c>
      <c r="B115">
        <v>3</v>
      </c>
      <c r="C115">
        <v>710314963</v>
      </c>
      <c r="D115">
        <v>611578479</v>
      </c>
      <c r="E115">
        <v>198549497</v>
      </c>
      <c r="F115">
        <v>2763</v>
      </c>
      <c r="G115">
        <v>797</v>
      </c>
      <c r="H115">
        <v>2969</v>
      </c>
      <c r="I115">
        <v>3067</v>
      </c>
      <c r="J115">
        <v>92</v>
      </c>
      <c r="K115">
        <v>3243</v>
      </c>
      <c r="L115">
        <v>2076</v>
      </c>
      <c r="M115">
        <v>4971</v>
      </c>
      <c r="N115">
        <v>0.85179856115107899</v>
      </c>
      <c r="O115">
        <v>1</v>
      </c>
      <c r="P115">
        <v>1</v>
      </c>
      <c r="Q115">
        <v>1</v>
      </c>
      <c r="R115">
        <v>0.98848920863309298</v>
      </c>
    </row>
    <row r="116" spans="1:18" x14ac:dyDescent="0.25">
      <c r="A116">
        <f t="shared" si="2"/>
        <v>11</v>
      </c>
      <c r="B116">
        <v>4</v>
      </c>
      <c r="C116">
        <v>707674825</v>
      </c>
      <c r="D116">
        <v>613604893</v>
      </c>
      <c r="E116">
        <v>182823516</v>
      </c>
      <c r="F116">
        <v>3682</v>
      </c>
      <c r="G116">
        <v>995</v>
      </c>
      <c r="H116">
        <v>3624</v>
      </c>
      <c r="I116">
        <v>3615</v>
      </c>
      <c r="J116">
        <v>138</v>
      </c>
      <c r="K116">
        <v>3149</v>
      </c>
      <c r="L116">
        <v>2219</v>
      </c>
      <c r="M116">
        <v>4876</v>
      </c>
      <c r="N116">
        <v>0.82661870503597101</v>
      </c>
      <c r="O116">
        <v>1</v>
      </c>
      <c r="P116">
        <v>1</v>
      </c>
      <c r="Q116">
        <v>1</v>
      </c>
      <c r="R116">
        <v>0.985611510791366</v>
      </c>
    </row>
    <row r="117" spans="1:18" x14ac:dyDescent="0.25">
      <c r="A117">
        <f t="shared" si="2"/>
        <v>11</v>
      </c>
      <c r="B117">
        <v>5</v>
      </c>
      <c r="C117">
        <v>701263012</v>
      </c>
      <c r="D117">
        <v>610152537</v>
      </c>
      <c r="E117">
        <v>181102447</v>
      </c>
      <c r="F117">
        <v>4325</v>
      </c>
      <c r="G117">
        <v>1277</v>
      </c>
      <c r="H117">
        <v>4322</v>
      </c>
      <c r="I117">
        <v>4188</v>
      </c>
      <c r="J117">
        <v>158</v>
      </c>
      <c r="K117">
        <v>3038</v>
      </c>
      <c r="L117">
        <v>2381</v>
      </c>
      <c r="M117">
        <v>4805</v>
      </c>
      <c r="N117">
        <v>0.8</v>
      </c>
      <c r="O117">
        <v>1</v>
      </c>
      <c r="P117">
        <v>1</v>
      </c>
      <c r="Q117">
        <v>1</v>
      </c>
      <c r="R117">
        <v>0.98345323741007196</v>
      </c>
    </row>
    <row r="118" spans="1:18" x14ac:dyDescent="0.25">
      <c r="A118">
        <f t="shared" si="2"/>
        <v>11</v>
      </c>
      <c r="B118">
        <v>6</v>
      </c>
      <c r="C118">
        <v>697087364</v>
      </c>
      <c r="D118">
        <v>608484965</v>
      </c>
      <c r="E118">
        <v>195594761</v>
      </c>
      <c r="F118">
        <v>4763</v>
      </c>
      <c r="G118">
        <v>1440</v>
      </c>
      <c r="H118">
        <v>4839</v>
      </c>
      <c r="I118">
        <v>4631</v>
      </c>
      <c r="J118">
        <v>169</v>
      </c>
      <c r="K118">
        <v>2966</v>
      </c>
      <c r="L118">
        <v>2551</v>
      </c>
      <c r="M118">
        <v>4696</v>
      </c>
      <c r="N118">
        <v>0.77913669064748203</v>
      </c>
      <c r="O118">
        <v>1</v>
      </c>
      <c r="P118">
        <v>1</v>
      </c>
      <c r="Q118">
        <v>1</v>
      </c>
      <c r="R118">
        <v>0.97913669064748199</v>
      </c>
    </row>
    <row r="119" spans="1:18" x14ac:dyDescent="0.25">
      <c r="A119">
        <f t="shared" si="2"/>
        <v>11</v>
      </c>
      <c r="B119">
        <v>7</v>
      </c>
      <c r="C119">
        <v>692817023</v>
      </c>
      <c r="D119">
        <v>606481935</v>
      </c>
      <c r="E119">
        <v>184523577</v>
      </c>
      <c r="F119">
        <v>5097</v>
      </c>
      <c r="G119">
        <v>1527</v>
      </c>
      <c r="H119">
        <v>5170</v>
      </c>
      <c r="I119">
        <v>5004</v>
      </c>
      <c r="J119">
        <v>172</v>
      </c>
      <c r="K119">
        <v>2883</v>
      </c>
      <c r="L119">
        <v>2760</v>
      </c>
      <c r="M119">
        <v>4567</v>
      </c>
      <c r="N119">
        <v>0.75683453237410003</v>
      </c>
      <c r="O119">
        <v>1</v>
      </c>
      <c r="P119">
        <v>1</v>
      </c>
      <c r="Q119">
        <v>1</v>
      </c>
      <c r="R119">
        <v>0.977697841726618</v>
      </c>
    </row>
    <row r="120" spans="1:18" x14ac:dyDescent="0.25">
      <c r="A120">
        <f t="shared" si="2"/>
        <v>11</v>
      </c>
      <c r="B120">
        <v>8</v>
      </c>
      <c r="C120">
        <v>694039249</v>
      </c>
      <c r="D120">
        <v>608372132</v>
      </c>
      <c r="E120">
        <v>191009290</v>
      </c>
      <c r="F120">
        <v>5282</v>
      </c>
      <c r="G120">
        <v>1693</v>
      </c>
      <c r="H120">
        <v>5350</v>
      </c>
      <c r="I120">
        <v>5215</v>
      </c>
      <c r="J120">
        <v>171</v>
      </c>
      <c r="K120">
        <v>2828</v>
      </c>
      <c r="L120">
        <v>3043</v>
      </c>
      <c r="M120">
        <v>4340</v>
      </c>
      <c r="N120">
        <v>0.72805755395683402</v>
      </c>
      <c r="O120">
        <v>1</v>
      </c>
      <c r="P120">
        <v>1</v>
      </c>
      <c r="Q120">
        <v>1</v>
      </c>
      <c r="R120">
        <v>0.97697841726618695</v>
      </c>
    </row>
    <row r="121" spans="1:18" x14ac:dyDescent="0.25">
      <c r="A121">
        <f t="shared" si="2"/>
        <v>11</v>
      </c>
      <c r="B121">
        <v>9</v>
      </c>
      <c r="C121">
        <v>697498452</v>
      </c>
      <c r="D121">
        <v>612655076</v>
      </c>
      <c r="E121">
        <v>200995136</v>
      </c>
      <c r="F121">
        <v>5387</v>
      </c>
      <c r="G121">
        <v>1869</v>
      </c>
      <c r="H121">
        <v>5549</v>
      </c>
      <c r="I121">
        <v>5432</v>
      </c>
      <c r="J121">
        <v>191</v>
      </c>
      <c r="K121">
        <v>2783</v>
      </c>
      <c r="L121">
        <v>3225</v>
      </c>
      <c r="M121">
        <v>4183</v>
      </c>
      <c r="N121">
        <v>0.70071942446043101</v>
      </c>
      <c r="O121">
        <v>1</v>
      </c>
      <c r="P121">
        <v>1</v>
      </c>
      <c r="Q121">
        <v>1</v>
      </c>
      <c r="R121">
        <v>0.97625899280575501</v>
      </c>
    </row>
    <row r="122" spans="1:18" x14ac:dyDescent="0.25">
      <c r="A122">
        <f t="shared" si="2"/>
        <v>11</v>
      </c>
      <c r="B122">
        <v>10</v>
      </c>
      <c r="C122">
        <v>697923177</v>
      </c>
      <c r="D122">
        <v>613960907</v>
      </c>
      <c r="E122">
        <v>205081879</v>
      </c>
      <c r="F122">
        <v>5559</v>
      </c>
      <c r="G122">
        <v>1954</v>
      </c>
      <c r="H122">
        <v>5634</v>
      </c>
      <c r="I122">
        <v>5518</v>
      </c>
      <c r="J122">
        <v>195</v>
      </c>
      <c r="K122">
        <v>2770</v>
      </c>
      <c r="L122">
        <v>3433</v>
      </c>
      <c r="M122">
        <v>3984</v>
      </c>
      <c r="N122">
        <v>0.67769784172661796</v>
      </c>
      <c r="O122">
        <v>1</v>
      </c>
      <c r="P122">
        <v>1</v>
      </c>
      <c r="Q122">
        <v>1</v>
      </c>
      <c r="R122">
        <v>0.97625899280575501</v>
      </c>
    </row>
    <row r="123" spans="1:18" x14ac:dyDescent="0.25">
      <c r="A123">
        <f t="shared" si="2"/>
        <v>12</v>
      </c>
      <c r="B123">
        <v>0</v>
      </c>
      <c r="C123">
        <v>719112410</v>
      </c>
      <c r="D123">
        <v>616362962</v>
      </c>
      <c r="E123">
        <v>169977435</v>
      </c>
      <c r="F123">
        <v>916</v>
      </c>
      <c r="G123">
        <v>352</v>
      </c>
      <c r="H123">
        <v>890</v>
      </c>
      <c r="I123">
        <v>1109</v>
      </c>
      <c r="J123">
        <v>68</v>
      </c>
      <c r="K123">
        <v>3558</v>
      </c>
      <c r="L123">
        <v>1314</v>
      </c>
      <c r="M123">
        <v>5442</v>
      </c>
      <c r="N123">
        <v>0.93597122302158198</v>
      </c>
      <c r="O123">
        <v>1</v>
      </c>
      <c r="P123">
        <v>1</v>
      </c>
      <c r="Q123">
        <v>1</v>
      </c>
      <c r="R123">
        <v>0.98992805755395596</v>
      </c>
    </row>
    <row r="124" spans="1:18" x14ac:dyDescent="0.25">
      <c r="A124">
        <f t="shared" si="2"/>
        <v>12</v>
      </c>
      <c r="B124">
        <v>1</v>
      </c>
      <c r="C124">
        <v>719371589</v>
      </c>
      <c r="D124">
        <v>616686296</v>
      </c>
      <c r="E124">
        <v>219563805</v>
      </c>
      <c r="F124">
        <v>1977</v>
      </c>
      <c r="G124">
        <v>600</v>
      </c>
      <c r="H124">
        <v>1989</v>
      </c>
      <c r="I124">
        <v>1950</v>
      </c>
      <c r="J124">
        <v>68</v>
      </c>
      <c r="K124">
        <v>3445</v>
      </c>
      <c r="L124">
        <v>1543</v>
      </c>
      <c r="M124">
        <v>5326</v>
      </c>
      <c r="N124">
        <v>0.93597122302158198</v>
      </c>
      <c r="O124">
        <v>1</v>
      </c>
      <c r="P124">
        <v>1</v>
      </c>
      <c r="Q124">
        <v>1</v>
      </c>
      <c r="R124">
        <v>0.98992805755395596</v>
      </c>
    </row>
    <row r="125" spans="1:18" x14ac:dyDescent="0.25">
      <c r="A125">
        <f t="shared" si="2"/>
        <v>12</v>
      </c>
      <c r="B125">
        <v>2</v>
      </c>
      <c r="C125">
        <v>711150054</v>
      </c>
      <c r="D125">
        <v>613602178</v>
      </c>
      <c r="E125">
        <v>224526235</v>
      </c>
      <c r="F125">
        <v>3115</v>
      </c>
      <c r="G125">
        <v>931</v>
      </c>
      <c r="H125">
        <v>3167</v>
      </c>
      <c r="I125">
        <v>3215</v>
      </c>
      <c r="J125">
        <v>85</v>
      </c>
      <c r="K125">
        <v>3295</v>
      </c>
      <c r="L125">
        <v>1828</v>
      </c>
      <c r="M125">
        <v>5174</v>
      </c>
      <c r="N125">
        <v>0.89928057553956797</v>
      </c>
      <c r="O125">
        <v>1</v>
      </c>
      <c r="P125">
        <v>1</v>
      </c>
      <c r="Q125">
        <v>1</v>
      </c>
      <c r="R125">
        <v>0.98920863309352502</v>
      </c>
    </row>
    <row r="126" spans="1:18" x14ac:dyDescent="0.25">
      <c r="A126">
        <f t="shared" si="2"/>
        <v>12</v>
      </c>
      <c r="B126">
        <v>3</v>
      </c>
      <c r="C126">
        <v>703408853</v>
      </c>
      <c r="D126">
        <v>611619074</v>
      </c>
      <c r="E126">
        <v>194979046</v>
      </c>
      <c r="F126">
        <v>4611</v>
      </c>
      <c r="G126">
        <v>1171</v>
      </c>
      <c r="H126">
        <v>4660</v>
      </c>
      <c r="I126">
        <v>4425</v>
      </c>
      <c r="J126">
        <v>137</v>
      </c>
      <c r="K126">
        <v>3218</v>
      </c>
      <c r="L126">
        <v>2018</v>
      </c>
      <c r="M126">
        <v>5009</v>
      </c>
      <c r="N126">
        <v>0.86043165467625904</v>
      </c>
      <c r="O126">
        <v>1</v>
      </c>
      <c r="P126">
        <v>1</v>
      </c>
      <c r="Q126">
        <v>1</v>
      </c>
      <c r="R126">
        <v>0.98633093525179805</v>
      </c>
    </row>
    <row r="127" spans="1:18" x14ac:dyDescent="0.25">
      <c r="A127">
        <f t="shared" si="2"/>
        <v>12</v>
      </c>
      <c r="B127">
        <v>4</v>
      </c>
      <c r="C127">
        <v>698220378</v>
      </c>
      <c r="D127">
        <v>610793581</v>
      </c>
      <c r="E127">
        <v>170879720</v>
      </c>
      <c r="F127">
        <v>5754</v>
      </c>
      <c r="G127">
        <v>1546</v>
      </c>
      <c r="H127">
        <v>5916</v>
      </c>
      <c r="I127">
        <v>5699</v>
      </c>
      <c r="J127">
        <v>133</v>
      </c>
      <c r="K127">
        <v>3150</v>
      </c>
      <c r="L127">
        <v>2126</v>
      </c>
      <c r="M127">
        <v>4973</v>
      </c>
      <c r="N127">
        <v>0.83381294964028696</v>
      </c>
      <c r="O127">
        <v>1</v>
      </c>
      <c r="P127">
        <v>1</v>
      </c>
      <c r="Q127">
        <v>1</v>
      </c>
      <c r="R127">
        <v>0.98273381294964002</v>
      </c>
    </row>
    <row r="128" spans="1:18" x14ac:dyDescent="0.25">
      <c r="A128">
        <f t="shared" si="2"/>
        <v>12</v>
      </c>
      <c r="B128">
        <v>5</v>
      </c>
      <c r="C128">
        <v>689872277</v>
      </c>
      <c r="D128">
        <v>609241377</v>
      </c>
      <c r="E128">
        <v>171896769</v>
      </c>
      <c r="F128">
        <v>6555</v>
      </c>
      <c r="G128">
        <v>1968</v>
      </c>
      <c r="H128">
        <v>6505</v>
      </c>
      <c r="I128">
        <v>6452</v>
      </c>
      <c r="J128">
        <v>142</v>
      </c>
      <c r="K128">
        <v>3100</v>
      </c>
      <c r="L128">
        <v>2284</v>
      </c>
      <c r="M128">
        <v>4856</v>
      </c>
      <c r="N128">
        <v>0.80863309352517898</v>
      </c>
      <c r="O128">
        <v>1</v>
      </c>
      <c r="P128">
        <v>1</v>
      </c>
      <c r="Q128">
        <v>1</v>
      </c>
      <c r="R128">
        <v>0.98201438848920797</v>
      </c>
    </row>
    <row r="129" spans="1:18" x14ac:dyDescent="0.25">
      <c r="A129">
        <f t="shared" si="2"/>
        <v>12</v>
      </c>
      <c r="B129">
        <v>6</v>
      </c>
      <c r="C129">
        <v>688675752</v>
      </c>
      <c r="D129">
        <v>611336062</v>
      </c>
      <c r="E129">
        <v>189491782</v>
      </c>
      <c r="F129">
        <v>6830</v>
      </c>
      <c r="G129">
        <v>2307</v>
      </c>
      <c r="H129">
        <v>6760</v>
      </c>
      <c r="I129">
        <v>6727</v>
      </c>
      <c r="J129">
        <v>150</v>
      </c>
      <c r="K129">
        <v>3034</v>
      </c>
      <c r="L129">
        <v>2531</v>
      </c>
      <c r="M129">
        <v>4667</v>
      </c>
      <c r="N129">
        <v>0.78633093525179798</v>
      </c>
      <c r="O129">
        <v>1</v>
      </c>
      <c r="P129">
        <v>1</v>
      </c>
      <c r="Q129">
        <v>1</v>
      </c>
      <c r="R129">
        <v>0.97985611510791304</v>
      </c>
    </row>
    <row r="130" spans="1:18" x14ac:dyDescent="0.25">
      <c r="A130">
        <f t="shared" si="2"/>
        <v>12</v>
      </c>
      <c r="B130">
        <v>7</v>
      </c>
      <c r="C130">
        <v>691502279</v>
      </c>
      <c r="D130">
        <v>614929318</v>
      </c>
      <c r="E130">
        <v>174728353</v>
      </c>
      <c r="F130">
        <v>7070</v>
      </c>
      <c r="G130">
        <v>2539</v>
      </c>
      <c r="H130">
        <v>6952</v>
      </c>
      <c r="I130">
        <v>6964</v>
      </c>
      <c r="J130">
        <v>220</v>
      </c>
      <c r="K130">
        <v>2965</v>
      </c>
      <c r="L130">
        <v>2700</v>
      </c>
      <c r="M130">
        <v>4497</v>
      </c>
      <c r="N130">
        <v>0.75971223021582701</v>
      </c>
      <c r="O130">
        <v>1</v>
      </c>
      <c r="P130">
        <v>1</v>
      </c>
      <c r="Q130">
        <v>1</v>
      </c>
      <c r="R130">
        <v>0.97625899280575501</v>
      </c>
    </row>
    <row r="131" spans="1:18" x14ac:dyDescent="0.25">
      <c r="A131">
        <f t="shared" si="2"/>
        <v>12</v>
      </c>
      <c r="B131">
        <v>8</v>
      </c>
      <c r="C131">
        <v>692027417</v>
      </c>
      <c r="D131">
        <v>615807920</v>
      </c>
      <c r="E131">
        <v>165517258</v>
      </c>
      <c r="F131">
        <v>7120</v>
      </c>
      <c r="G131">
        <v>2649</v>
      </c>
      <c r="H131">
        <v>6988</v>
      </c>
      <c r="I131">
        <v>7080</v>
      </c>
      <c r="J131">
        <v>240</v>
      </c>
      <c r="K131">
        <v>2928</v>
      </c>
      <c r="L131">
        <v>2844</v>
      </c>
      <c r="M131">
        <v>4370</v>
      </c>
      <c r="N131">
        <v>0.73669064748201396</v>
      </c>
      <c r="O131">
        <v>1</v>
      </c>
      <c r="P131">
        <v>1</v>
      </c>
      <c r="Q131">
        <v>1</v>
      </c>
      <c r="R131">
        <v>0.97410071942445997</v>
      </c>
    </row>
    <row r="132" spans="1:18" x14ac:dyDescent="0.25">
      <c r="A132">
        <f t="shared" si="2"/>
        <v>12</v>
      </c>
      <c r="B132">
        <v>9</v>
      </c>
      <c r="C132">
        <v>692177118</v>
      </c>
      <c r="D132">
        <v>616219364</v>
      </c>
      <c r="E132">
        <v>200242203</v>
      </c>
      <c r="F132">
        <v>7057</v>
      </c>
      <c r="G132">
        <v>2646</v>
      </c>
      <c r="H132">
        <v>6828</v>
      </c>
      <c r="I132">
        <v>7057</v>
      </c>
      <c r="J132">
        <v>249</v>
      </c>
      <c r="K132">
        <v>2868</v>
      </c>
      <c r="L132">
        <v>3053</v>
      </c>
      <c r="M132">
        <v>4212</v>
      </c>
      <c r="N132">
        <v>0.71510791366906401</v>
      </c>
      <c r="O132">
        <v>1</v>
      </c>
      <c r="P132">
        <v>1</v>
      </c>
      <c r="Q132">
        <v>1</v>
      </c>
      <c r="R132">
        <v>0.97122302158273299</v>
      </c>
    </row>
    <row r="133" spans="1:18" x14ac:dyDescent="0.25">
      <c r="A133">
        <f t="shared" si="2"/>
        <v>12</v>
      </c>
      <c r="B133">
        <v>10</v>
      </c>
      <c r="C133">
        <v>697703643</v>
      </c>
      <c r="D133">
        <v>619905869</v>
      </c>
      <c r="E133">
        <v>204631299</v>
      </c>
      <c r="F133">
        <v>6915</v>
      </c>
      <c r="G133">
        <v>2623</v>
      </c>
      <c r="H133">
        <v>6682</v>
      </c>
      <c r="I133">
        <v>6884</v>
      </c>
      <c r="J133">
        <v>281</v>
      </c>
      <c r="K133">
        <v>2783</v>
      </c>
      <c r="L133">
        <v>3213</v>
      </c>
      <c r="M133">
        <v>4105</v>
      </c>
      <c r="N133">
        <v>0.69208633093525096</v>
      </c>
      <c r="O133">
        <v>1</v>
      </c>
      <c r="P133">
        <v>1</v>
      </c>
      <c r="Q133">
        <v>1</v>
      </c>
      <c r="R133">
        <v>0.97050359712230205</v>
      </c>
    </row>
    <row r="134" spans="1:18" x14ac:dyDescent="0.25">
      <c r="A134">
        <f t="shared" si="2"/>
        <v>13</v>
      </c>
      <c r="B134">
        <v>0</v>
      </c>
      <c r="C134">
        <v>719112410</v>
      </c>
      <c r="D134">
        <v>616362962</v>
      </c>
      <c r="E134">
        <v>169977435</v>
      </c>
      <c r="F134">
        <v>916</v>
      </c>
      <c r="G134">
        <v>352</v>
      </c>
      <c r="H134">
        <v>890</v>
      </c>
      <c r="I134">
        <v>1109</v>
      </c>
      <c r="J134">
        <v>68</v>
      </c>
      <c r="K134">
        <v>3558</v>
      </c>
      <c r="L134">
        <v>1314</v>
      </c>
      <c r="M134">
        <v>5442</v>
      </c>
      <c r="N134">
        <v>0.93597122302158198</v>
      </c>
      <c r="O134">
        <v>1</v>
      </c>
      <c r="P134">
        <v>1</v>
      </c>
      <c r="Q134">
        <v>1</v>
      </c>
      <c r="R134">
        <v>0.98992805755395596</v>
      </c>
    </row>
    <row r="135" spans="1:18" x14ac:dyDescent="0.25">
      <c r="A135">
        <f t="shared" si="2"/>
        <v>13</v>
      </c>
      <c r="B135">
        <v>1</v>
      </c>
      <c r="C135">
        <v>719371589</v>
      </c>
      <c r="D135">
        <v>616686296</v>
      </c>
      <c r="E135">
        <v>215434806</v>
      </c>
      <c r="F135">
        <v>1991</v>
      </c>
      <c r="G135">
        <v>664</v>
      </c>
      <c r="H135">
        <v>1869</v>
      </c>
      <c r="I135">
        <v>2134</v>
      </c>
      <c r="J135">
        <v>83</v>
      </c>
      <c r="K135">
        <v>3453</v>
      </c>
      <c r="L135">
        <v>1667</v>
      </c>
      <c r="M135">
        <v>5179</v>
      </c>
      <c r="N135">
        <v>0.93597122302158198</v>
      </c>
      <c r="O135">
        <v>1</v>
      </c>
      <c r="P135">
        <v>1</v>
      </c>
      <c r="Q135">
        <v>1</v>
      </c>
      <c r="R135">
        <v>0.98992805755395596</v>
      </c>
    </row>
    <row r="136" spans="1:18" x14ac:dyDescent="0.25">
      <c r="A136">
        <f t="shared" si="2"/>
        <v>13</v>
      </c>
      <c r="B136">
        <v>2</v>
      </c>
      <c r="C136">
        <v>716979583</v>
      </c>
      <c r="D136">
        <v>619014299</v>
      </c>
      <c r="E136">
        <v>249582328</v>
      </c>
      <c r="F136">
        <v>3317</v>
      </c>
      <c r="G136">
        <v>1056</v>
      </c>
      <c r="H136">
        <v>3150</v>
      </c>
      <c r="I136">
        <v>3641</v>
      </c>
      <c r="J136">
        <v>84</v>
      </c>
      <c r="K136">
        <v>3377</v>
      </c>
      <c r="L136">
        <v>1868</v>
      </c>
      <c r="M136">
        <v>5053</v>
      </c>
      <c r="N136">
        <v>0.88920863309352505</v>
      </c>
      <c r="O136">
        <v>1</v>
      </c>
      <c r="P136">
        <v>1</v>
      </c>
      <c r="Q136">
        <v>1</v>
      </c>
      <c r="R136">
        <v>0.98848920863309298</v>
      </c>
    </row>
    <row r="137" spans="1:18" x14ac:dyDescent="0.25">
      <c r="A137">
        <f t="shared" si="2"/>
        <v>13</v>
      </c>
      <c r="B137">
        <v>3</v>
      </c>
      <c r="C137">
        <v>712299906</v>
      </c>
      <c r="D137">
        <v>618037707</v>
      </c>
      <c r="E137">
        <v>214400124</v>
      </c>
      <c r="F137">
        <v>5109</v>
      </c>
      <c r="G137">
        <v>1388</v>
      </c>
      <c r="H137">
        <v>4764</v>
      </c>
      <c r="I137">
        <v>4910</v>
      </c>
      <c r="J137">
        <v>104</v>
      </c>
      <c r="K137">
        <v>3321</v>
      </c>
      <c r="L137">
        <v>2058</v>
      </c>
      <c r="M137">
        <v>4899</v>
      </c>
      <c r="N137">
        <v>0.85251798561151004</v>
      </c>
      <c r="O137">
        <v>1</v>
      </c>
      <c r="P137">
        <v>1</v>
      </c>
      <c r="Q137">
        <v>1</v>
      </c>
      <c r="R137">
        <v>0.98848920863309298</v>
      </c>
    </row>
    <row r="138" spans="1:18" x14ac:dyDescent="0.25">
      <c r="A138">
        <f t="shared" si="2"/>
        <v>13</v>
      </c>
      <c r="B138">
        <v>4</v>
      </c>
      <c r="C138">
        <v>707457813</v>
      </c>
      <c r="D138">
        <v>621069416</v>
      </c>
      <c r="E138">
        <v>182873442</v>
      </c>
      <c r="F138">
        <v>6427</v>
      </c>
      <c r="G138">
        <v>1876</v>
      </c>
      <c r="H138">
        <v>6257</v>
      </c>
      <c r="I138">
        <v>5993</v>
      </c>
      <c r="J138">
        <v>126</v>
      </c>
      <c r="K138">
        <v>3250</v>
      </c>
      <c r="L138">
        <v>2202</v>
      </c>
      <c r="M138">
        <v>4804</v>
      </c>
      <c r="N138">
        <v>0.82086330935251794</v>
      </c>
      <c r="O138">
        <v>1</v>
      </c>
      <c r="P138">
        <v>1</v>
      </c>
      <c r="Q138">
        <v>1</v>
      </c>
      <c r="R138">
        <v>0.98633093525179805</v>
      </c>
    </row>
    <row r="139" spans="1:18" x14ac:dyDescent="0.25">
      <c r="A139">
        <f t="shared" si="2"/>
        <v>13</v>
      </c>
      <c r="B139">
        <v>5</v>
      </c>
      <c r="C139">
        <v>702101741</v>
      </c>
      <c r="D139">
        <v>620856457</v>
      </c>
      <c r="E139">
        <v>190234015</v>
      </c>
      <c r="F139">
        <v>7054</v>
      </c>
      <c r="G139">
        <v>2375</v>
      </c>
      <c r="H139">
        <v>6920</v>
      </c>
      <c r="I139">
        <v>6840</v>
      </c>
      <c r="J139">
        <v>146</v>
      </c>
      <c r="K139">
        <v>3186</v>
      </c>
      <c r="L139">
        <v>2398</v>
      </c>
      <c r="M139">
        <v>4652</v>
      </c>
      <c r="N139">
        <v>0.797841726618705</v>
      </c>
      <c r="O139">
        <v>1</v>
      </c>
      <c r="P139">
        <v>1</v>
      </c>
      <c r="Q139">
        <v>1</v>
      </c>
      <c r="R139">
        <v>0.985611510791366</v>
      </c>
    </row>
    <row r="140" spans="1:18" x14ac:dyDescent="0.25">
      <c r="A140">
        <f t="shared" si="2"/>
        <v>13</v>
      </c>
      <c r="B140">
        <v>6</v>
      </c>
      <c r="C140">
        <v>698272601</v>
      </c>
      <c r="D140">
        <v>621580206</v>
      </c>
      <c r="E140">
        <v>185788181</v>
      </c>
      <c r="F140">
        <v>7204</v>
      </c>
      <c r="G140">
        <v>2596</v>
      </c>
      <c r="H140">
        <v>7133</v>
      </c>
      <c r="I140">
        <v>7082</v>
      </c>
      <c r="J140">
        <v>164</v>
      </c>
      <c r="K140">
        <v>3054</v>
      </c>
      <c r="L140">
        <v>2679</v>
      </c>
      <c r="M140">
        <v>4485</v>
      </c>
      <c r="N140">
        <v>0.76690647482014296</v>
      </c>
      <c r="O140">
        <v>1</v>
      </c>
      <c r="P140">
        <v>1</v>
      </c>
      <c r="Q140">
        <v>1</v>
      </c>
      <c r="R140">
        <v>0.98489208633093495</v>
      </c>
    </row>
    <row r="141" spans="1:18" x14ac:dyDescent="0.25">
      <c r="A141">
        <f t="shared" si="2"/>
        <v>13</v>
      </c>
      <c r="B141">
        <v>7</v>
      </c>
      <c r="C141">
        <v>695531690</v>
      </c>
      <c r="D141">
        <v>620226467</v>
      </c>
      <c r="E141">
        <v>213421224</v>
      </c>
      <c r="F141">
        <v>7154</v>
      </c>
      <c r="G141">
        <v>2781</v>
      </c>
      <c r="H141">
        <v>7077</v>
      </c>
      <c r="I141">
        <v>7088</v>
      </c>
      <c r="J141">
        <v>200</v>
      </c>
      <c r="K141">
        <v>2997</v>
      </c>
      <c r="L141">
        <v>2883</v>
      </c>
      <c r="M141">
        <v>4302</v>
      </c>
      <c r="N141">
        <v>0.73741007194244601</v>
      </c>
      <c r="O141">
        <v>1</v>
      </c>
      <c r="P141">
        <v>1</v>
      </c>
      <c r="Q141">
        <v>1</v>
      </c>
      <c r="R141">
        <v>0.97985611510791304</v>
      </c>
    </row>
    <row r="142" spans="1:18" x14ac:dyDescent="0.25">
      <c r="A142">
        <f t="shared" ref="A142:A174" si="3">A131+1</f>
        <v>13</v>
      </c>
      <c r="B142">
        <v>8</v>
      </c>
      <c r="C142">
        <v>695341113</v>
      </c>
      <c r="D142">
        <v>619555292</v>
      </c>
      <c r="E142">
        <v>215162812</v>
      </c>
      <c r="F142">
        <v>7142</v>
      </c>
      <c r="G142">
        <v>2801</v>
      </c>
      <c r="H142">
        <v>7016</v>
      </c>
      <c r="I142">
        <v>7081</v>
      </c>
      <c r="J142">
        <v>210</v>
      </c>
      <c r="K142">
        <v>2914</v>
      </c>
      <c r="L142">
        <v>3034</v>
      </c>
      <c r="M142">
        <v>4224</v>
      </c>
      <c r="N142">
        <v>0.70935251798561105</v>
      </c>
      <c r="O142">
        <v>1</v>
      </c>
      <c r="P142">
        <v>1</v>
      </c>
      <c r="Q142">
        <v>1</v>
      </c>
      <c r="R142">
        <v>0.977697841726618</v>
      </c>
    </row>
    <row r="143" spans="1:18" x14ac:dyDescent="0.25">
      <c r="A143">
        <f t="shared" si="3"/>
        <v>13</v>
      </c>
      <c r="B143">
        <v>9</v>
      </c>
      <c r="C143">
        <v>696020801</v>
      </c>
      <c r="D143">
        <v>619216393</v>
      </c>
      <c r="E143">
        <v>210532370</v>
      </c>
      <c r="F143">
        <v>6999</v>
      </c>
      <c r="G143">
        <v>2753</v>
      </c>
      <c r="H143">
        <v>6831</v>
      </c>
      <c r="I143">
        <v>6945</v>
      </c>
      <c r="J143">
        <v>216</v>
      </c>
      <c r="K143">
        <v>2828</v>
      </c>
      <c r="L143">
        <v>3248</v>
      </c>
      <c r="M143">
        <v>4090</v>
      </c>
      <c r="N143">
        <v>0.68920863309352498</v>
      </c>
      <c r="O143">
        <v>1</v>
      </c>
      <c r="P143">
        <v>1</v>
      </c>
      <c r="Q143">
        <v>1</v>
      </c>
      <c r="R143">
        <v>0.97625899280575501</v>
      </c>
    </row>
    <row r="144" spans="1:18" x14ac:dyDescent="0.25">
      <c r="A144">
        <f t="shared" si="3"/>
        <v>13</v>
      </c>
      <c r="B144">
        <v>10</v>
      </c>
      <c r="C144">
        <v>692600783</v>
      </c>
      <c r="D144">
        <v>616747581</v>
      </c>
      <c r="E144">
        <v>211008386</v>
      </c>
      <c r="F144">
        <v>6878</v>
      </c>
      <c r="G144">
        <v>2700</v>
      </c>
      <c r="H144">
        <v>6705</v>
      </c>
      <c r="I144">
        <v>6857</v>
      </c>
      <c r="J144">
        <v>214</v>
      </c>
      <c r="K144">
        <v>2756</v>
      </c>
      <c r="L144">
        <v>3379</v>
      </c>
      <c r="M144">
        <v>4033</v>
      </c>
      <c r="N144">
        <v>0.65755395683453199</v>
      </c>
      <c r="O144">
        <v>1</v>
      </c>
      <c r="P144">
        <v>1</v>
      </c>
      <c r="Q144">
        <v>1</v>
      </c>
      <c r="R144">
        <v>0.97841726618705005</v>
      </c>
    </row>
    <row r="145" spans="1:18" x14ac:dyDescent="0.25">
      <c r="A145">
        <f t="shared" si="3"/>
        <v>14</v>
      </c>
      <c r="B145">
        <v>0</v>
      </c>
      <c r="C145">
        <v>719112410</v>
      </c>
      <c r="D145">
        <v>616362962</v>
      </c>
      <c r="E145">
        <v>169977435</v>
      </c>
      <c r="F145">
        <v>916</v>
      </c>
      <c r="G145">
        <v>352</v>
      </c>
      <c r="H145">
        <v>890</v>
      </c>
      <c r="I145">
        <v>1109</v>
      </c>
      <c r="J145">
        <v>68</v>
      </c>
      <c r="K145">
        <v>3558</v>
      </c>
      <c r="L145">
        <v>1314</v>
      </c>
      <c r="M145">
        <v>5442</v>
      </c>
      <c r="N145">
        <v>0.93597122302158198</v>
      </c>
      <c r="O145">
        <v>1</v>
      </c>
      <c r="P145">
        <v>1</v>
      </c>
      <c r="Q145">
        <v>1</v>
      </c>
      <c r="R145">
        <v>0.98992805755395596</v>
      </c>
    </row>
    <row r="146" spans="1:18" x14ac:dyDescent="0.25">
      <c r="A146">
        <f t="shared" si="3"/>
        <v>14</v>
      </c>
      <c r="B146">
        <v>1</v>
      </c>
      <c r="C146">
        <v>719371589</v>
      </c>
      <c r="D146">
        <v>616686296</v>
      </c>
      <c r="E146">
        <v>218771060</v>
      </c>
      <c r="F146">
        <v>2076</v>
      </c>
      <c r="G146">
        <v>632</v>
      </c>
      <c r="H146">
        <v>2104</v>
      </c>
      <c r="I146">
        <v>1949</v>
      </c>
      <c r="J146">
        <v>81</v>
      </c>
      <c r="K146">
        <v>3448</v>
      </c>
      <c r="L146">
        <v>1734</v>
      </c>
      <c r="M146">
        <v>5119</v>
      </c>
      <c r="N146">
        <v>0.93597122302158198</v>
      </c>
      <c r="O146">
        <v>1</v>
      </c>
      <c r="P146">
        <v>1</v>
      </c>
      <c r="Q146">
        <v>1</v>
      </c>
      <c r="R146">
        <v>0.98992805755395596</v>
      </c>
    </row>
    <row r="147" spans="1:18" x14ac:dyDescent="0.25">
      <c r="A147">
        <f t="shared" si="3"/>
        <v>14</v>
      </c>
      <c r="B147">
        <v>2</v>
      </c>
      <c r="C147">
        <v>720901773</v>
      </c>
      <c r="D147">
        <v>622337958</v>
      </c>
      <c r="E147">
        <v>225022384</v>
      </c>
      <c r="F147">
        <v>3537</v>
      </c>
      <c r="G147">
        <v>981</v>
      </c>
      <c r="H147">
        <v>3650</v>
      </c>
      <c r="I147">
        <v>3178</v>
      </c>
      <c r="J147">
        <v>95</v>
      </c>
      <c r="K147">
        <v>3311</v>
      </c>
      <c r="L147">
        <v>1989</v>
      </c>
      <c r="M147">
        <v>4987</v>
      </c>
      <c r="N147">
        <v>0.894964028776978</v>
      </c>
      <c r="O147">
        <v>1</v>
      </c>
      <c r="P147">
        <v>1</v>
      </c>
      <c r="Q147">
        <v>1</v>
      </c>
      <c r="R147">
        <v>0.98776978417266104</v>
      </c>
    </row>
    <row r="148" spans="1:18" x14ac:dyDescent="0.25">
      <c r="A148">
        <f t="shared" si="3"/>
        <v>14</v>
      </c>
      <c r="B148">
        <v>3</v>
      </c>
      <c r="C148">
        <v>713803725</v>
      </c>
      <c r="D148">
        <v>621741855</v>
      </c>
      <c r="E148">
        <v>197643563</v>
      </c>
      <c r="F148">
        <v>5050</v>
      </c>
      <c r="G148">
        <v>1320</v>
      </c>
      <c r="H148">
        <v>5130</v>
      </c>
      <c r="I148">
        <v>4768</v>
      </c>
      <c r="J148">
        <v>139</v>
      </c>
      <c r="K148">
        <v>3231</v>
      </c>
      <c r="L148">
        <v>2225</v>
      </c>
      <c r="M148">
        <v>4787</v>
      </c>
      <c r="N148">
        <v>0.85899280575539505</v>
      </c>
      <c r="O148">
        <v>1</v>
      </c>
      <c r="P148">
        <v>1</v>
      </c>
      <c r="Q148">
        <v>1</v>
      </c>
      <c r="R148">
        <v>0.985611510791366</v>
      </c>
    </row>
    <row r="149" spans="1:18" x14ac:dyDescent="0.25">
      <c r="A149">
        <f t="shared" si="3"/>
        <v>14</v>
      </c>
      <c r="B149">
        <v>4</v>
      </c>
      <c r="C149">
        <v>708898824</v>
      </c>
      <c r="D149">
        <v>621982254</v>
      </c>
      <c r="E149">
        <v>193345129</v>
      </c>
      <c r="F149">
        <v>6028</v>
      </c>
      <c r="G149">
        <v>1828</v>
      </c>
      <c r="H149">
        <v>6207</v>
      </c>
      <c r="I149">
        <v>6014</v>
      </c>
      <c r="J149">
        <v>160</v>
      </c>
      <c r="K149">
        <v>3154</v>
      </c>
      <c r="L149">
        <v>2457</v>
      </c>
      <c r="M149">
        <v>4611</v>
      </c>
      <c r="N149">
        <v>0.82374100719424403</v>
      </c>
      <c r="O149">
        <v>1</v>
      </c>
      <c r="P149">
        <v>1</v>
      </c>
      <c r="Q149">
        <v>1</v>
      </c>
      <c r="R149">
        <v>0.98129496402877703</v>
      </c>
    </row>
    <row r="150" spans="1:18" x14ac:dyDescent="0.25">
      <c r="A150">
        <f t="shared" si="3"/>
        <v>14</v>
      </c>
      <c r="B150">
        <v>5</v>
      </c>
      <c r="C150">
        <v>707544928</v>
      </c>
      <c r="D150">
        <v>625879304</v>
      </c>
      <c r="E150">
        <v>176775174</v>
      </c>
      <c r="F150">
        <v>6719</v>
      </c>
      <c r="G150">
        <v>2371</v>
      </c>
      <c r="H150">
        <v>6790</v>
      </c>
      <c r="I150">
        <v>6603</v>
      </c>
      <c r="J150">
        <v>166</v>
      </c>
      <c r="K150">
        <v>3144</v>
      </c>
      <c r="L150">
        <v>2650</v>
      </c>
      <c r="M150">
        <v>4422</v>
      </c>
      <c r="N150">
        <v>0.79424460431654598</v>
      </c>
      <c r="O150">
        <v>1</v>
      </c>
      <c r="P150">
        <v>1</v>
      </c>
      <c r="Q150">
        <v>1</v>
      </c>
      <c r="R150">
        <v>0.98057553956834498</v>
      </c>
    </row>
    <row r="151" spans="1:18" x14ac:dyDescent="0.25">
      <c r="A151">
        <f t="shared" si="3"/>
        <v>14</v>
      </c>
      <c r="B151">
        <v>6</v>
      </c>
      <c r="C151">
        <v>709545790</v>
      </c>
      <c r="D151">
        <v>630513281</v>
      </c>
      <c r="E151">
        <v>193319586</v>
      </c>
      <c r="F151">
        <v>6958</v>
      </c>
      <c r="G151">
        <v>2643</v>
      </c>
      <c r="H151">
        <v>6955</v>
      </c>
      <c r="I151">
        <v>6804</v>
      </c>
      <c r="J151">
        <v>179</v>
      </c>
      <c r="K151">
        <v>3113</v>
      </c>
      <c r="L151">
        <v>2822</v>
      </c>
      <c r="M151">
        <v>4268</v>
      </c>
      <c r="N151">
        <v>0.769064748201438</v>
      </c>
      <c r="O151">
        <v>1</v>
      </c>
      <c r="P151">
        <v>1</v>
      </c>
      <c r="Q151">
        <v>1</v>
      </c>
      <c r="R151">
        <v>0.97913669064748199</v>
      </c>
    </row>
    <row r="152" spans="1:18" x14ac:dyDescent="0.25">
      <c r="A152">
        <f t="shared" si="3"/>
        <v>14</v>
      </c>
      <c r="B152">
        <v>7</v>
      </c>
      <c r="C152">
        <v>716759054</v>
      </c>
      <c r="D152">
        <v>638042034</v>
      </c>
      <c r="E152">
        <v>192079180</v>
      </c>
      <c r="F152">
        <v>6913</v>
      </c>
      <c r="G152">
        <v>2775</v>
      </c>
      <c r="H152">
        <v>6825</v>
      </c>
      <c r="I152">
        <v>6842</v>
      </c>
      <c r="J152">
        <v>191</v>
      </c>
      <c r="K152">
        <v>3001</v>
      </c>
      <c r="L152">
        <v>3136</v>
      </c>
      <c r="M152">
        <v>4054</v>
      </c>
      <c r="N152">
        <v>0.74460431654676196</v>
      </c>
      <c r="O152">
        <v>1</v>
      </c>
      <c r="P152">
        <v>1</v>
      </c>
      <c r="Q152">
        <v>1</v>
      </c>
      <c r="R152">
        <v>0.97841726618705005</v>
      </c>
    </row>
    <row r="153" spans="1:18" x14ac:dyDescent="0.25">
      <c r="A153">
        <f t="shared" si="3"/>
        <v>14</v>
      </c>
      <c r="B153">
        <v>8</v>
      </c>
      <c r="C153">
        <v>713561463</v>
      </c>
      <c r="D153">
        <v>634361646</v>
      </c>
      <c r="E153">
        <v>204437939</v>
      </c>
      <c r="F153">
        <v>6849</v>
      </c>
      <c r="G153">
        <v>2802</v>
      </c>
      <c r="H153">
        <v>6755</v>
      </c>
      <c r="I153">
        <v>6829</v>
      </c>
      <c r="J153">
        <v>201</v>
      </c>
      <c r="K153">
        <v>2933</v>
      </c>
      <c r="L153">
        <v>3295</v>
      </c>
      <c r="M153">
        <v>3953</v>
      </c>
      <c r="N153">
        <v>0.71726618705035905</v>
      </c>
      <c r="O153">
        <v>1</v>
      </c>
      <c r="P153">
        <v>1</v>
      </c>
      <c r="Q153">
        <v>1</v>
      </c>
      <c r="R153">
        <v>0.97625899280575501</v>
      </c>
    </row>
    <row r="154" spans="1:18" x14ac:dyDescent="0.25">
      <c r="A154">
        <f t="shared" si="3"/>
        <v>14</v>
      </c>
      <c r="B154">
        <v>9</v>
      </c>
      <c r="C154">
        <v>711375741</v>
      </c>
      <c r="D154">
        <v>634122280</v>
      </c>
      <c r="E154">
        <v>204414921</v>
      </c>
      <c r="F154">
        <v>6770</v>
      </c>
      <c r="G154">
        <v>2803</v>
      </c>
      <c r="H154">
        <v>6608</v>
      </c>
      <c r="I154">
        <v>6711</v>
      </c>
      <c r="J154">
        <v>215</v>
      </c>
      <c r="K154">
        <v>2881</v>
      </c>
      <c r="L154">
        <v>3458</v>
      </c>
      <c r="M154">
        <v>3828</v>
      </c>
      <c r="N154">
        <v>0.69568345323740999</v>
      </c>
      <c r="O154">
        <v>1</v>
      </c>
      <c r="P154">
        <v>1</v>
      </c>
      <c r="Q154">
        <v>1</v>
      </c>
      <c r="R154">
        <v>0.97553956834532296</v>
      </c>
    </row>
    <row r="155" spans="1:18" x14ac:dyDescent="0.25">
      <c r="A155">
        <f t="shared" si="3"/>
        <v>14</v>
      </c>
      <c r="B155">
        <v>10</v>
      </c>
      <c r="C155">
        <v>712555053</v>
      </c>
      <c r="D155">
        <v>633013032</v>
      </c>
      <c r="E155">
        <v>201281519</v>
      </c>
      <c r="F155">
        <v>6635</v>
      </c>
      <c r="G155">
        <v>2764</v>
      </c>
      <c r="H155">
        <v>6457</v>
      </c>
      <c r="I155">
        <v>6598</v>
      </c>
      <c r="J155">
        <v>230</v>
      </c>
      <c r="K155">
        <v>2856</v>
      </c>
      <c r="L155">
        <v>3602</v>
      </c>
      <c r="M155">
        <v>3694</v>
      </c>
      <c r="N155">
        <v>0.67985611510791299</v>
      </c>
      <c r="O155">
        <v>1</v>
      </c>
      <c r="P155">
        <v>1</v>
      </c>
      <c r="Q155">
        <v>1</v>
      </c>
      <c r="R155">
        <v>0.97338129496402803</v>
      </c>
    </row>
    <row r="156" spans="1:18" x14ac:dyDescent="0.25">
      <c r="A156">
        <f t="shared" si="3"/>
        <v>15</v>
      </c>
    </row>
    <row r="157" spans="1:18" x14ac:dyDescent="0.25">
      <c r="A157">
        <f t="shared" si="3"/>
        <v>15</v>
      </c>
    </row>
    <row r="158" spans="1:18" x14ac:dyDescent="0.25">
      <c r="A158">
        <f t="shared" si="3"/>
        <v>15</v>
      </c>
    </row>
    <row r="159" spans="1:18" x14ac:dyDescent="0.25">
      <c r="A159">
        <f t="shared" si="3"/>
        <v>15</v>
      </c>
    </row>
    <row r="160" spans="1:18" x14ac:dyDescent="0.25">
      <c r="A160">
        <f t="shared" si="3"/>
        <v>15</v>
      </c>
    </row>
    <row r="161" spans="1:1" x14ac:dyDescent="0.25">
      <c r="A161">
        <f t="shared" si="3"/>
        <v>15</v>
      </c>
    </row>
    <row r="162" spans="1:1" x14ac:dyDescent="0.25">
      <c r="A162">
        <f t="shared" si="3"/>
        <v>15</v>
      </c>
    </row>
    <row r="163" spans="1:1" x14ac:dyDescent="0.25">
      <c r="A163">
        <f t="shared" si="3"/>
        <v>15</v>
      </c>
    </row>
    <row r="164" spans="1:1" x14ac:dyDescent="0.25">
      <c r="A164">
        <f t="shared" si="3"/>
        <v>15</v>
      </c>
    </row>
    <row r="165" spans="1:1" x14ac:dyDescent="0.25">
      <c r="A165">
        <f t="shared" si="3"/>
        <v>15</v>
      </c>
    </row>
    <row r="166" spans="1:1" x14ac:dyDescent="0.25">
      <c r="A166">
        <f t="shared" si="3"/>
        <v>15</v>
      </c>
    </row>
    <row r="167" spans="1:1" x14ac:dyDescent="0.25">
      <c r="A167">
        <f t="shared" si="3"/>
        <v>16</v>
      </c>
    </row>
    <row r="168" spans="1:1" x14ac:dyDescent="0.25">
      <c r="A168">
        <f t="shared" si="3"/>
        <v>16</v>
      </c>
    </row>
    <row r="169" spans="1:1" x14ac:dyDescent="0.25">
      <c r="A169">
        <f t="shared" si="3"/>
        <v>16</v>
      </c>
    </row>
    <row r="170" spans="1:1" x14ac:dyDescent="0.25">
      <c r="A170">
        <f t="shared" si="3"/>
        <v>16</v>
      </c>
    </row>
    <row r="171" spans="1:1" x14ac:dyDescent="0.25">
      <c r="A171">
        <f t="shared" si="3"/>
        <v>16</v>
      </c>
    </row>
    <row r="172" spans="1:1" x14ac:dyDescent="0.25">
      <c r="A172">
        <f t="shared" si="3"/>
        <v>16</v>
      </c>
    </row>
    <row r="173" spans="1:1" x14ac:dyDescent="0.25">
      <c r="A173">
        <f t="shared" si="3"/>
        <v>16</v>
      </c>
    </row>
    <row r="174" spans="1:1" x14ac:dyDescent="0.25">
      <c r="A174">
        <f t="shared" si="3"/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0D5CB-706A-4B0E-93D9-73FFBDE84D90}">
  <dimension ref="A3:P16"/>
  <sheetViews>
    <sheetView tabSelected="1" workbookViewId="0">
      <selection activeCell="B28" sqref="B28"/>
    </sheetView>
  </sheetViews>
  <sheetFormatPr defaultRowHeight="15" x14ac:dyDescent="0.25"/>
  <cols>
    <col min="1" max="1" width="30.5703125" bestFit="1" customWidth="1"/>
    <col min="2" max="2" width="16.85546875" bestFit="1" customWidth="1"/>
    <col min="3" max="15" width="6" bestFit="1" customWidth="1"/>
    <col min="16" max="16" width="11.28515625" bestFit="1" customWidth="1"/>
    <col min="17" max="17" width="28.28515625" bestFit="1" customWidth="1"/>
    <col min="18" max="18" width="15.7109375" bestFit="1" customWidth="1"/>
    <col min="19" max="19" width="28.28515625" bestFit="1" customWidth="1"/>
    <col min="20" max="20" width="15.7109375" bestFit="1" customWidth="1"/>
    <col min="21" max="21" width="28.28515625" bestFit="1" customWidth="1"/>
    <col min="22" max="22" width="15.7109375" bestFit="1" customWidth="1"/>
    <col min="23" max="23" width="28.28515625" bestFit="1" customWidth="1"/>
    <col min="24" max="24" width="15.7109375" bestFit="1" customWidth="1"/>
    <col min="25" max="25" width="28.28515625" bestFit="1" customWidth="1"/>
    <col min="26" max="26" width="15.7109375" bestFit="1" customWidth="1"/>
    <col min="27" max="27" width="28.28515625" bestFit="1" customWidth="1"/>
    <col min="28" max="28" width="15.7109375" bestFit="1" customWidth="1"/>
    <col min="29" max="29" width="28.28515625" bestFit="1" customWidth="1"/>
    <col min="30" max="30" width="20.7109375" bestFit="1" customWidth="1"/>
    <col min="31" max="31" width="33.28515625" bestFit="1" customWidth="1"/>
    <col min="32" max="131" width="10" bestFit="1" customWidth="1"/>
    <col min="132" max="132" width="11.28515625" bestFit="1" customWidth="1"/>
  </cols>
  <sheetData>
    <row r="3" spans="1:16" x14ac:dyDescent="0.25">
      <c r="A3" s="6" t="s">
        <v>64</v>
      </c>
      <c r="B3" s="6" t="s">
        <v>65</v>
      </c>
    </row>
    <row r="4" spans="1:16" x14ac:dyDescent="0.25">
      <c r="A4" s="6" t="s">
        <v>62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 t="s">
        <v>63</v>
      </c>
    </row>
    <row r="5" spans="1:16" x14ac:dyDescent="0.25">
      <c r="A5" s="7">
        <v>0</v>
      </c>
      <c r="B5" s="8">
        <v>890</v>
      </c>
      <c r="C5" s="8">
        <v>890</v>
      </c>
      <c r="D5" s="8">
        <v>890</v>
      </c>
      <c r="E5" s="8">
        <v>890</v>
      </c>
      <c r="F5" s="8">
        <v>890</v>
      </c>
      <c r="G5" s="8">
        <v>890</v>
      </c>
      <c r="H5" s="8">
        <v>890</v>
      </c>
      <c r="I5" s="8">
        <v>890</v>
      </c>
      <c r="J5" s="8">
        <v>890</v>
      </c>
      <c r="K5" s="8">
        <v>890</v>
      </c>
      <c r="L5" s="8">
        <v>890</v>
      </c>
      <c r="M5" s="8">
        <v>890</v>
      </c>
      <c r="N5" s="8">
        <v>890</v>
      </c>
      <c r="O5" s="8">
        <v>890</v>
      </c>
      <c r="P5" s="8">
        <v>12460</v>
      </c>
    </row>
    <row r="6" spans="1:16" x14ac:dyDescent="0.25">
      <c r="A6" s="7">
        <v>1</v>
      </c>
      <c r="B6" s="8">
        <v>1657</v>
      </c>
      <c r="C6" s="8">
        <v>1793</v>
      </c>
      <c r="D6" s="8">
        <v>1815</v>
      </c>
      <c r="E6" s="8">
        <v>1456</v>
      </c>
      <c r="F6" s="8">
        <v>2600</v>
      </c>
      <c r="G6" s="8">
        <v>1675</v>
      </c>
      <c r="H6" s="8">
        <v>1695</v>
      </c>
      <c r="I6" s="8">
        <v>1709</v>
      </c>
      <c r="J6" s="8">
        <v>1711</v>
      </c>
      <c r="K6" s="8">
        <v>1587</v>
      </c>
      <c r="L6" s="8">
        <v>1547</v>
      </c>
      <c r="M6" s="8">
        <v>1989</v>
      </c>
      <c r="N6" s="8">
        <v>1869</v>
      </c>
      <c r="O6" s="8">
        <v>2104</v>
      </c>
      <c r="P6" s="8">
        <v>25207</v>
      </c>
    </row>
    <row r="7" spans="1:16" x14ac:dyDescent="0.25">
      <c r="A7" s="7">
        <v>2</v>
      </c>
      <c r="B7" s="8">
        <v>2491</v>
      </c>
      <c r="C7" s="8">
        <v>2597</v>
      </c>
      <c r="D7" s="8">
        <v>2833</v>
      </c>
      <c r="E7" s="8">
        <v>1840</v>
      </c>
      <c r="F7" s="8">
        <v>4118</v>
      </c>
      <c r="G7" s="8">
        <v>2685</v>
      </c>
      <c r="H7" s="8">
        <v>2473</v>
      </c>
      <c r="I7" s="8">
        <v>2691</v>
      </c>
      <c r="J7" s="8">
        <v>2591</v>
      </c>
      <c r="K7" s="8">
        <v>2616</v>
      </c>
      <c r="L7" s="8">
        <v>2203</v>
      </c>
      <c r="M7" s="8">
        <v>3167</v>
      </c>
      <c r="N7" s="8">
        <v>3150</v>
      </c>
      <c r="O7" s="8">
        <v>3650</v>
      </c>
      <c r="P7" s="8">
        <v>39105</v>
      </c>
    </row>
    <row r="8" spans="1:16" x14ac:dyDescent="0.25">
      <c r="A8" s="7">
        <v>3</v>
      </c>
      <c r="B8" s="8">
        <v>3492</v>
      </c>
      <c r="C8" s="8">
        <v>3779</v>
      </c>
      <c r="D8" s="8">
        <v>3998</v>
      </c>
      <c r="E8" s="8">
        <v>2366</v>
      </c>
      <c r="F8" s="8">
        <v>5720</v>
      </c>
      <c r="G8" s="8">
        <v>3642</v>
      </c>
      <c r="H8" s="8">
        <v>3625</v>
      </c>
      <c r="I8" s="8">
        <v>3817</v>
      </c>
      <c r="J8" s="8">
        <v>3817</v>
      </c>
      <c r="K8" s="8">
        <v>3670</v>
      </c>
      <c r="L8" s="8">
        <v>2969</v>
      </c>
      <c r="M8" s="8">
        <v>4660</v>
      </c>
      <c r="N8" s="8">
        <v>4764</v>
      </c>
      <c r="O8" s="8">
        <v>5130</v>
      </c>
      <c r="P8" s="8">
        <v>55449</v>
      </c>
    </row>
    <row r="9" spans="1:16" x14ac:dyDescent="0.25">
      <c r="A9" s="7">
        <v>4</v>
      </c>
      <c r="B9" s="8">
        <v>4681</v>
      </c>
      <c r="C9" s="8">
        <v>5024</v>
      </c>
      <c r="D9" s="8">
        <v>5119</v>
      </c>
      <c r="E9" s="8">
        <v>3149</v>
      </c>
      <c r="F9" s="8">
        <v>6785</v>
      </c>
      <c r="G9" s="8">
        <v>4764</v>
      </c>
      <c r="H9" s="8">
        <v>4868</v>
      </c>
      <c r="I9" s="8">
        <v>5007</v>
      </c>
      <c r="J9" s="8">
        <v>4950</v>
      </c>
      <c r="K9" s="8">
        <v>4772</v>
      </c>
      <c r="L9" s="8">
        <v>3624</v>
      </c>
      <c r="M9" s="8">
        <v>5916</v>
      </c>
      <c r="N9" s="8">
        <v>6257</v>
      </c>
      <c r="O9" s="8">
        <v>6207</v>
      </c>
      <c r="P9" s="8">
        <v>71123</v>
      </c>
    </row>
    <row r="10" spans="1:16" x14ac:dyDescent="0.25">
      <c r="A10" s="7">
        <v>5</v>
      </c>
      <c r="B10" s="8">
        <v>5605</v>
      </c>
      <c r="C10" s="8">
        <v>5798</v>
      </c>
      <c r="D10" s="8">
        <v>5800</v>
      </c>
      <c r="E10" s="8">
        <v>3547</v>
      </c>
      <c r="F10" s="8">
        <v>7333</v>
      </c>
      <c r="G10" s="8">
        <v>5569</v>
      </c>
      <c r="H10" s="8">
        <v>5694</v>
      </c>
      <c r="I10" s="8">
        <v>5708</v>
      </c>
      <c r="J10" s="8">
        <v>5611</v>
      </c>
      <c r="K10" s="8">
        <v>5812</v>
      </c>
      <c r="L10" s="8">
        <v>4322</v>
      </c>
      <c r="M10" s="8">
        <v>6505</v>
      </c>
      <c r="N10" s="8">
        <v>6920</v>
      </c>
      <c r="O10" s="8">
        <v>6790</v>
      </c>
      <c r="P10" s="8">
        <v>81014</v>
      </c>
    </row>
    <row r="11" spans="1:16" x14ac:dyDescent="0.25">
      <c r="A11" s="7">
        <v>6</v>
      </c>
      <c r="B11" s="8">
        <v>6248</v>
      </c>
      <c r="C11" s="8">
        <v>6246</v>
      </c>
      <c r="D11" s="8">
        <v>6270</v>
      </c>
      <c r="E11" s="8">
        <v>4099</v>
      </c>
      <c r="F11" s="8">
        <v>7374</v>
      </c>
      <c r="G11" s="8">
        <v>5999</v>
      </c>
      <c r="H11" s="8">
        <v>6269</v>
      </c>
      <c r="I11" s="8">
        <v>6040</v>
      </c>
      <c r="J11" s="8">
        <v>6190</v>
      </c>
      <c r="K11" s="8">
        <v>6269</v>
      </c>
      <c r="L11" s="8">
        <v>4839</v>
      </c>
      <c r="M11" s="8">
        <v>6760</v>
      </c>
      <c r="N11" s="8">
        <v>7133</v>
      </c>
      <c r="O11" s="8">
        <v>6955</v>
      </c>
      <c r="P11" s="8">
        <v>86691</v>
      </c>
    </row>
    <row r="12" spans="1:16" x14ac:dyDescent="0.25">
      <c r="A12" s="7">
        <v>7</v>
      </c>
      <c r="B12" s="8">
        <v>6692</v>
      </c>
      <c r="C12" s="8">
        <v>6416</v>
      </c>
      <c r="D12" s="8">
        <v>6561</v>
      </c>
      <c r="E12" s="8">
        <v>4529</v>
      </c>
      <c r="F12" s="8">
        <v>7064</v>
      </c>
      <c r="G12" s="8">
        <v>6085</v>
      </c>
      <c r="H12" s="8">
        <v>6372</v>
      </c>
      <c r="I12" s="8">
        <v>6317</v>
      </c>
      <c r="J12" s="8">
        <v>6440</v>
      </c>
      <c r="K12" s="8">
        <v>6433</v>
      </c>
      <c r="L12" s="8">
        <v>5170</v>
      </c>
      <c r="M12" s="8">
        <v>6952</v>
      </c>
      <c r="N12" s="8">
        <v>7077</v>
      </c>
      <c r="O12" s="8">
        <v>6825</v>
      </c>
      <c r="P12" s="8">
        <v>88933</v>
      </c>
    </row>
    <row r="13" spans="1:16" x14ac:dyDescent="0.25">
      <c r="A13" s="7">
        <v>8</v>
      </c>
      <c r="B13" s="8">
        <v>6631</v>
      </c>
      <c r="C13" s="8">
        <v>6445</v>
      </c>
      <c r="D13" s="8">
        <v>6735</v>
      </c>
      <c r="E13" s="8">
        <v>4921</v>
      </c>
      <c r="F13" s="8">
        <v>7014</v>
      </c>
      <c r="G13" s="8">
        <v>6268</v>
      </c>
      <c r="H13" s="8">
        <v>6515</v>
      </c>
      <c r="I13" s="8">
        <v>6337</v>
      </c>
      <c r="J13" s="8">
        <v>6472</v>
      </c>
      <c r="K13" s="8">
        <v>6681</v>
      </c>
      <c r="L13" s="8">
        <v>5350</v>
      </c>
      <c r="M13" s="8">
        <v>6988</v>
      </c>
      <c r="N13" s="8">
        <v>7016</v>
      </c>
      <c r="O13" s="8">
        <v>6755</v>
      </c>
      <c r="P13" s="8">
        <v>90128</v>
      </c>
    </row>
    <row r="14" spans="1:16" x14ac:dyDescent="0.25">
      <c r="A14" s="7">
        <v>9</v>
      </c>
      <c r="B14" s="8">
        <v>6658</v>
      </c>
      <c r="C14" s="8">
        <v>6418</v>
      </c>
      <c r="D14" s="8">
        <v>6767</v>
      </c>
      <c r="E14" s="8">
        <v>5218</v>
      </c>
      <c r="F14" s="8">
        <v>6819</v>
      </c>
      <c r="G14" s="8">
        <v>6195</v>
      </c>
      <c r="H14" s="8">
        <v>6529</v>
      </c>
      <c r="I14" s="8">
        <v>6372</v>
      </c>
      <c r="J14" s="8">
        <v>6514</v>
      </c>
      <c r="K14" s="8">
        <v>6660</v>
      </c>
      <c r="L14" s="8">
        <v>5549</v>
      </c>
      <c r="M14" s="8">
        <v>6828</v>
      </c>
      <c r="N14" s="8">
        <v>6831</v>
      </c>
      <c r="O14" s="8">
        <v>6608</v>
      </c>
      <c r="P14" s="8">
        <v>89966</v>
      </c>
    </row>
    <row r="15" spans="1:16" x14ac:dyDescent="0.25">
      <c r="A15" s="7">
        <v>10</v>
      </c>
      <c r="B15" s="8">
        <v>6540</v>
      </c>
      <c r="C15" s="8">
        <v>6300</v>
      </c>
      <c r="D15" s="8">
        <v>6746</v>
      </c>
      <c r="E15" s="8">
        <v>5400</v>
      </c>
      <c r="F15" s="8">
        <v>6564</v>
      </c>
      <c r="G15" s="8">
        <v>6112</v>
      </c>
      <c r="H15" s="8">
        <v>6445</v>
      </c>
      <c r="I15" s="8">
        <v>6298</v>
      </c>
      <c r="J15" s="8">
        <v>6381</v>
      </c>
      <c r="K15" s="8">
        <v>6617</v>
      </c>
      <c r="L15" s="8">
        <v>5634</v>
      </c>
      <c r="M15" s="8">
        <v>6682</v>
      </c>
      <c r="N15" s="8">
        <v>6705</v>
      </c>
      <c r="O15" s="8">
        <v>6457</v>
      </c>
      <c r="P15" s="8">
        <v>88881</v>
      </c>
    </row>
    <row r="16" spans="1:16" x14ac:dyDescent="0.25">
      <c r="A16" s="7" t="s">
        <v>63</v>
      </c>
      <c r="B16" s="8">
        <v>51585</v>
      </c>
      <c r="C16" s="8">
        <v>51706</v>
      </c>
      <c r="D16" s="8">
        <v>53534</v>
      </c>
      <c r="E16" s="8">
        <v>37415</v>
      </c>
      <c r="F16" s="8">
        <v>62281</v>
      </c>
      <c r="G16" s="8">
        <v>49884</v>
      </c>
      <c r="H16" s="8">
        <v>51375</v>
      </c>
      <c r="I16" s="8">
        <v>51186</v>
      </c>
      <c r="J16" s="8">
        <v>51567</v>
      </c>
      <c r="K16" s="8">
        <v>52007</v>
      </c>
      <c r="L16" s="8">
        <v>42097</v>
      </c>
      <c r="M16" s="8">
        <v>57337</v>
      </c>
      <c r="N16" s="8">
        <v>58612</v>
      </c>
      <c r="O16" s="8">
        <v>58371</v>
      </c>
      <c r="P16" s="8">
        <v>728957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</vt:lpstr>
      <vt:lpstr>Estimates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J Daigneault</cp:lastModifiedBy>
  <dcterms:created xsi:type="dcterms:W3CDTF">2026-02-03T19:24:58Z</dcterms:created>
  <dcterms:modified xsi:type="dcterms:W3CDTF">2026-02-03T19:53:11Z</dcterms:modified>
</cp:coreProperties>
</file>